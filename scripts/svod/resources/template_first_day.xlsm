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bookViews>
    <workbookView xWindow="0" yWindow="0" windowWidth="28800" windowHeight="11655"/>
  </bookViews>
  <sheets>
    <sheet name="Сводка отдел×тип" sheetId="1" r:id="rId1"/>
  </sheets>
  <externalReferences>
    <externalReference r:id="rId2"/>
  </externalReferenc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S46" i="1" l="1"/>
  <c r="CR46" i="1"/>
  <c r="CQ46" i="1"/>
  <c r="CP46" i="1"/>
  <c r="CO46" i="1"/>
  <c r="CN46" i="1"/>
  <c r="CM46" i="1"/>
  <c r="CL46" i="1"/>
  <c r="CK46" i="1"/>
  <c r="CJ46" i="1"/>
  <c r="CI46" i="1"/>
  <c r="CH46" i="1"/>
  <c r="CG46" i="1"/>
  <c r="CF46" i="1"/>
  <c r="CE46" i="1"/>
  <c r="CD46" i="1"/>
  <c r="CC46" i="1"/>
  <c r="CB46" i="1"/>
  <c r="CA46" i="1"/>
  <c r="BZ46" i="1"/>
  <c r="BY46" i="1"/>
  <c r="BX46" i="1"/>
  <c r="BW46" i="1"/>
  <c r="BV46" i="1"/>
  <c r="BU46" i="1"/>
  <c r="BT46" i="1"/>
  <c r="BS46" i="1"/>
  <c r="BR46" i="1"/>
  <c r="BQ46" i="1"/>
  <c r="BP46" i="1"/>
  <c r="BO46" i="1"/>
  <c r="BN46" i="1"/>
  <c r="BM46" i="1"/>
  <c r="BL46" i="1"/>
  <c r="BK46" i="1"/>
  <c r="BJ46" i="1"/>
  <c r="BI46" i="1"/>
  <c r="BH46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P46" i="1"/>
  <c r="O46" i="1"/>
  <c r="N46" i="1"/>
  <c r="M46" i="1"/>
  <c r="L46" i="1"/>
  <c r="K46" i="1"/>
  <c r="J46" i="1"/>
  <c r="I46" i="1"/>
  <c r="H46" i="1"/>
  <c r="G46" i="1"/>
  <c r="E46" i="1" s="1"/>
  <c r="F46" i="1"/>
  <c r="D46" i="1" s="1"/>
  <c r="C46" i="1" s="1"/>
  <c r="CS45" i="1"/>
  <c r="CR45" i="1"/>
  <c r="CQ45" i="1"/>
  <c r="CP45" i="1"/>
  <c r="CO45" i="1"/>
  <c r="CN45" i="1"/>
  <c r="CM45" i="1"/>
  <c r="CL45" i="1"/>
  <c r="CK45" i="1"/>
  <c r="CJ45" i="1"/>
  <c r="CI45" i="1"/>
  <c r="CH45" i="1"/>
  <c r="CG45" i="1"/>
  <c r="CF45" i="1"/>
  <c r="CE45" i="1"/>
  <c r="CD45" i="1"/>
  <c r="CC45" i="1"/>
  <c r="CB45" i="1"/>
  <c r="CA45" i="1"/>
  <c r="BZ45" i="1"/>
  <c r="BY45" i="1"/>
  <c r="BX45" i="1"/>
  <c r="BW45" i="1"/>
  <c r="BV45" i="1"/>
  <c r="BU45" i="1"/>
  <c r="BT45" i="1"/>
  <c r="BS45" i="1"/>
  <c r="BR45" i="1"/>
  <c r="BQ45" i="1"/>
  <c r="BP45" i="1"/>
  <c r="BO45" i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E45" i="1" s="1"/>
  <c r="F45" i="1"/>
  <c r="D45" i="1" s="1"/>
  <c r="CS44" i="1"/>
  <c r="CR44" i="1"/>
  <c r="CQ44" i="1"/>
  <c r="CP44" i="1"/>
  <c r="CO44" i="1"/>
  <c r="CN44" i="1"/>
  <c r="CM44" i="1"/>
  <c r="CL44" i="1"/>
  <c r="CK44" i="1"/>
  <c r="CJ44" i="1"/>
  <c r="CI44" i="1"/>
  <c r="CH44" i="1"/>
  <c r="CG44" i="1"/>
  <c r="CF44" i="1"/>
  <c r="CE44" i="1"/>
  <c r="CD44" i="1"/>
  <c r="CC44" i="1"/>
  <c r="CB44" i="1"/>
  <c r="CA44" i="1"/>
  <c r="BZ44" i="1"/>
  <c r="BY44" i="1"/>
  <c r="BX44" i="1"/>
  <c r="BW44" i="1"/>
  <c r="BV44" i="1"/>
  <c r="BU44" i="1"/>
  <c r="BT44" i="1"/>
  <c r="BS44" i="1"/>
  <c r="BR44" i="1"/>
  <c r="BQ44" i="1"/>
  <c r="BP44" i="1"/>
  <c r="BO44" i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E44" i="1" s="1"/>
  <c r="F44" i="1"/>
  <c r="D44" i="1" s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BZ43" i="1"/>
  <c r="BY43" i="1"/>
  <c r="BX43" i="1"/>
  <c r="BW43" i="1"/>
  <c r="BV43" i="1"/>
  <c r="BU43" i="1"/>
  <c r="BT43" i="1"/>
  <c r="BS43" i="1"/>
  <c r="BR43" i="1"/>
  <c r="BQ43" i="1"/>
  <c r="BP43" i="1"/>
  <c r="BO43" i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E43" i="1" s="1"/>
  <c r="F43" i="1"/>
  <c r="D43" i="1" s="1"/>
  <c r="C43" i="1" s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BZ42" i="1"/>
  <c r="BY42" i="1"/>
  <c r="BX42" i="1"/>
  <c r="BW42" i="1"/>
  <c r="BV42" i="1"/>
  <c r="BU42" i="1"/>
  <c r="BT42" i="1"/>
  <c r="BS42" i="1"/>
  <c r="BR42" i="1"/>
  <c r="BQ42" i="1"/>
  <c r="BP42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D42" i="1" s="1"/>
  <c r="C42" i="1" s="1"/>
  <c r="E42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BZ41" i="1"/>
  <c r="BY41" i="1"/>
  <c r="BX41" i="1"/>
  <c r="BW41" i="1"/>
  <c r="BV41" i="1"/>
  <c r="BU41" i="1"/>
  <c r="BT41" i="1"/>
  <c r="BS41" i="1"/>
  <c r="BR41" i="1"/>
  <c r="BQ41" i="1"/>
  <c r="BP41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E41" i="1" s="1"/>
  <c r="H41" i="1"/>
  <c r="G41" i="1"/>
  <c r="F41" i="1"/>
  <c r="D41" i="1"/>
  <c r="C41" i="1" s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BZ40" i="1"/>
  <c r="BY40" i="1"/>
  <c r="BX40" i="1"/>
  <c r="BW40" i="1"/>
  <c r="BV40" i="1"/>
  <c r="BU40" i="1"/>
  <c r="BT40" i="1"/>
  <c r="BS40" i="1"/>
  <c r="BR40" i="1"/>
  <c r="BQ40" i="1"/>
  <c r="BP40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E40" i="1" s="1"/>
  <c r="H40" i="1"/>
  <c r="D40" i="1" s="1"/>
  <c r="G40" i="1"/>
  <c r="F40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BZ39" i="1"/>
  <c r="BY39" i="1"/>
  <c r="BX39" i="1"/>
  <c r="BW39" i="1"/>
  <c r="BV39" i="1"/>
  <c r="BU39" i="1"/>
  <c r="BT39" i="1"/>
  <c r="BS39" i="1"/>
  <c r="BR39" i="1"/>
  <c r="BQ39" i="1"/>
  <c r="BP39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E39" i="1" s="1"/>
  <c r="F39" i="1"/>
  <c r="D39" i="1" s="1"/>
  <c r="C39" i="1" s="1"/>
  <c r="CS38" i="1"/>
  <c r="CR38" i="1"/>
  <c r="CQ38" i="1"/>
  <c r="CP38" i="1"/>
  <c r="CO38" i="1"/>
  <c r="CN38" i="1"/>
  <c r="CM38" i="1"/>
  <c r="CL38" i="1"/>
  <c r="CK38" i="1"/>
  <c r="CJ38" i="1"/>
  <c r="CI38" i="1"/>
  <c r="CH38" i="1"/>
  <c r="CG38" i="1"/>
  <c r="CF38" i="1"/>
  <c r="CE38" i="1"/>
  <c r="CD38" i="1"/>
  <c r="CC38" i="1"/>
  <c r="CB38" i="1"/>
  <c r="CA38" i="1"/>
  <c r="BZ38" i="1"/>
  <c r="BY38" i="1"/>
  <c r="BX38" i="1"/>
  <c r="BW38" i="1"/>
  <c r="BV38" i="1"/>
  <c r="BU38" i="1"/>
  <c r="BT38" i="1"/>
  <c r="BS38" i="1"/>
  <c r="BR38" i="1"/>
  <c r="BQ38" i="1"/>
  <c r="BP38" i="1"/>
  <c r="BO38" i="1"/>
  <c r="BN38" i="1"/>
  <c r="BM38" i="1"/>
  <c r="BL38" i="1"/>
  <c r="BK38" i="1"/>
  <c r="BJ38" i="1"/>
  <c r="BI38" i="1"/>
  <c r="BH38" i="1"/>
  <c r="BG38" i="1"/>
  <c r="BF38" i="1"/>
  <c r="BE38" i="1"/>
  <c r="BD38" i="1"/>
  <c r="BC38" i="1"/>
  <c r="BB38" i="1"/>
  <c r="BA38" i="1"/>
  <c r="AZ38" i="1"/>
  <c r="AY38" i="1"/>
  <c r="AX38" i="1"/>
  <c r="AW38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E38" i="1" s="1"/>
  <c r="F38" i="1"/>
  <c r="D38" i="1" s="1"/>
  <c r="CS37" i="1"/>
  <c r="CR37" i="1"/>
  <c r="CQ37" i="1"/>
  <c r="CP37" i="1"/>
  <c r="CO37" i="1"/>
  <c r="CN37" i="1"/>
  <c r="CM37" i="1"/>
  <c r="CL37" i="1"/>
  <c r="CK37" i="1"/>
  <c r="CJ37" i="1"/>
  <c r="CI37" i="1"/>
  <c r="CH37" i="1"/>
  <c r="CG37" i="1"/>
  <c r="CF37" i="1"/>
  <c r="CE37" i="1"/>
  <c r="CD37" i="1"/>
  <c r="CC37" i="1"/>
  <c r="CB37" i="1"/>
  <c r="CA37" i="1"/>
  <c r="BZ37" i="1"/>
  <c r="BY37" i="1"/>
  <c r="BX37" i="1"/>
  <c r="BW37" i="1"/>
  <c r="BV37" i="1"/>
  <c r="BU37" i="1"/>
  <c r="BT37" i="1"/>
  <c r="BS37" i="1"/>
  <c r="BR37" i="1"/>
  <c r="BQ37" i="1"/>
  <c r="BP37" i="1"/>
  <c r="BO37" i="1"/>
  <c r="BN37" i="1"/>
  <c r="BM37" i="1"/>
  <c r="BL37" i="1"/>
  <c r="BK37" i="1"/>
  <c r="BJ37" i="1"/>
  <c r="BI37" i="1"/>
  <c r="BH37" i="1"/>
  <c r="BG37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G37" i="1"/>
  <c r="E37" i="1" s="1"/>
  <c r="F37" i="1"/>
  <c r="D37" i="1" s="1"/>
  <c r="C37" i="1" s="1"/>
  <c r="CS36" i="1"/>
  <c r="CR36" i="1"/>
  <c r="CQ36" i="1"/>
  <c r="CP36" i="1"/>
  <c r="CO36" i="1"/>
  <c r="CN36" i="1"/>
  <c r="CM36" i="1"/>
  <c r="CL36" i="1"/>
  <c r="CK36" i="1"/>
  <c r="CJ36" i="1"/>
  <c r="CI36" i="1"/>
  <c r="CH36" i="1"/>
  <c r="CG36" i="1"/>
  <c r="CF36" i="1"/>
  <c r="CE36" i="1"/>
  <c r="CD36" i="1"/>
  <c r="CC36" i="1"/>
  <c r="CB36" i="1"/>
  <c r="CA36" i="1"/>
  <c r="BZ36" i="1"/>
  <c r="BY36" i="1"/>
  <c r="BX36" i="1"/>
  <c r="BW36" i="1"/>
  <c r="BV36" i="1"/>
  <c r="BU36" i="1"/>
  <c r="BT36" i="1"/>
  <c r="BS36" i="1"/>
  <c r="BR36" i="1"/>
  <c r="BQ36" i="1"/>
  <c r="BP36" i="1"/>
  <c r="BO36" i="1"/>
  <c r="BN36" i="1"/>
  <c r="BM36" i="1"/>
  <c r="BL36" i="1"/>
  <c r="BK36" i="1"/>
  <c r="BJ36" i="1"/>
  <c r="BI36" i="1"/>
  <c r="BH36" i="1"/>
  <c r="BG36" i="1"/>
  <c r="BF36" i="1"/>
  <c r="BE36" i="1"/>
  <c r="BD36" i="1"/>
  <c r="BC36" i="1"/>
  <c r="BB36" i="1"/>
  <c r="BA36" i="1"/>
  <c r="AZ36" i="1"/>
  <c r="AY36" i="1"/>
  <c r="AX36" i="1"/>
  <c r="AW36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E36" i="1" s="1"/>
  <c r="N36" i="1"/>
  <c r="M36" i="1"/>
  <c r="L36" i="1"/>
  <c r="K36" i="1"/>
  <c r="J36" i="1"/>
  <c r="I36" i="1"/>
  <c r="H36" i="1"/>
  <c r="G36" i="1"/>
  <c r="F36" i="1"/>
  <c r="D36" i="1" s="1"/>
  <c r="CS35" i="1"/>
  <c r="CR35" i="1"/>
  <c r="CQ35" i="1"/>
  <c r="CP35" i="1"/>
  <c r="CO35" i="1"/>
  <c r="CN35" i="1"/>
  <c r="CM35" i="1"/>
  <c r="CL35" i="1"/>
  <c r="CK35" i="1"/>
  <c r="CJ35" i="1"/>
  <c r="CI35" i="1"/>
  <c r="CH35" i="1"/>
  <c r="CG35" i="1"/>
  <c r="CF35" i="1"/>
  <c r="CE35" i="1"/>
  <c r="CD35" i="1"/>
  <c r="CC35" i="1"/>
  <c r="CB35" i="1"/>
  <c r="CA35" i="1"/>
  <c r="BZ35" i="1"/>
  <c r="BY35" i="1"/>
  <c r="BX35" i="1"/>
  <c r="BW35" i="1"/>
  <c r="BV35" i="1"/>
  <c r="BU35" i="1"/>
  <c r="BT35" i="1"/>
  <c r="BS35" i="1"/>
  <c r="BR35" i="1"/>
  <c r="BQ35" i="1"/>
  <c r="BP35" i="1"/>
  <c r="BO35" i="1"/>
  <c r="BN35" i="1"/>
  <c r="BM35" i="1"/>
  <c r="BL35" i="1"/>
  <c r="BK35" i="1"/>
  <c r="BJ35" i="1"/>
  <c r="BI35" i="1"/>
  <c r="BH35" i="1"/>
  <c r="BG35" i="1"/>
  <c r="BF35" i="1"/>
  <c r="BE35" i="1"/>
  <c r="BD35" i="1"/>
  <c r="BC35" i="1"/>
  <c r="BB35" i="1"/>
  <c r="BA35" i="1"/>
  <c r="AZ35" i="1"/>
  <c r="AY35" i="1"/>
  <c r="AX35" i="1"/>
  <c r="AW35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D35" i="1" s="1"/>
  <c r="C35" i="1" s="1"/>
  <c r="M35" i="1"/>
  <c r="L35" i="1"/>
  <c r="K35" i="1"/>
  <c r="J35" i="1"/>
  <c r="I35" i="1"/>
  <c r="H35" i="1"/>
  <c r="G35" i="1"/>
  <c r="F35" i="1"/>
  <c r="E35" i="1"/>
  <c r="CS34" i="1"/>
  <c r="CR34" i="1"/>
  <c r="CQ34" i="1"/>
  <c r="CP34" i="1"/>
  <c r="CO34" i="1"/>
  <c r="CN34" i="1"/>
  <c r="CM34" i="1"/>
  <c r="CL34" i="1"/>
  <c r="CK34" i="1"/>
  <c r="CJ34" i="1"/>
  <c r="CI34" i="1"/>
  <c r="CH34" i="1"/>
  <c r="CG34" i="1"/>
  <c r="CF34" i="1"/>
  <c r="CE34" i="1"/>
  <c r="CD34" i="1"/>
  <c r="CC34" i="1"/>
  <c r="CB34" i="1"/>
  <c r="CA34" i="1"/>
  <c r="BZ34" i="1"/>
  <c r="BY34" i="1"/>
  <c r="BX34" i="1"/>
  <c r="BW34" i="1"/>
  <c r="BV34" i="1"/>
  <c r="BU34" i="1"/>
  <c r="BT34" i="1"/>
  <c r="BS34" i="1"/>
  <c r="BR34" i="1"/>
  <c r="BQ34" i="1"/>
  <c r="BP34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E34" i="1" s="1"/>
  <c r="C34" i="1" s="1"/>
  <c r="L34" i="1"/>
  <c r="K34" i="1"/>
  <c r="J34" i="1"/>
  <c r="I34" i="1"/>
  <c r="H34" i="1"/>
  <c r="G34" i="1"/>
  <c r="F34" i="1"/>
  <c r="D34" i="1"/>
  <c r="CS33" i="1"/>
  <c r="CR33" i="1"/>
  <c r="CQ33" i="1"/>
  <c r="CP33" i="1"/>
  <c r="CO33" i="1"/>
  <c r="CN33" i="1"/>
  <c r="CM33" i="1"/>
  <c r="CL33" i="1"/>
  <c r="CK33" i="1"/>
  <c r="CJ33" i="1"/>
  <c r="CI33" i="1"/>
  <c r="CH33" i="1"/>
  <c r="CG33" i="1"/>
  <c r="CF33" i="1"/>
  <c r="CE33" i="1"/>
  <c r="CD33" i="1"/>
  <c r="CC33" i="1"/>
  <c r="CB33" i="1"/>
  <c r="CA33" i="1"/>
  <c r="BZ33" i="1"/>
  <c r="BY33" i="1"/>
  <c r="BX33" i="1"/>
  <c r="BW33" i="1"/>
  <c r="BV33" i="1"/>
  <c r="BU33" i="1"/>
  <c r="BT33" i="1"/>
  <c r="BS33" i="1"/>
  <c r="BR33" i="1"/>
  <c r="BQ33" i="1"/>
  <c r="BP33" i="1"/>
  <c r="BO33" i="1"/>
  <c r="BN33" i="1"/>
  <c r="BM33" i="1"/>
  <c r="BL33" i="1"/>
  <c r="BK33" i="1"/>
  <c r="BJ33" i="1"/>
  <c r="BI33" i="1"/>
  <c r="BH33" i="1"/>
  <c r="BG33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E33" i="1" s="1"/>
  <c r="P33" i="1"/>
  <c r="O33" i="1"/>
  <c r="N33" i="1"/>
  <c r="M33" i="1"/>
  <c r="L33" i="1"/>
  <c r="D33" i="1" s="1"/>
  <c r="C33" i="1" s="1"/>
  <c r="K33" i="1"/>
  <c r="J33" i="1"/>
  <c r="I33" i="1"/>
  <c r="H33" i="1"/>
  <c r="G33" i="1"/>
  <c r="F33" i="1"/>
  <c r="CS32" i="1"/>
  <c r="CR32" i="1"/>
  <c r="CQ32" i="1"/>
  <c r="CP32" i="1"/>
  <c r="CO32" i="1"/>
  <c r="CN32" i="1"/>
  <c r="CM32" i="1"/>
  <c r="CL32" i="1"/>
  <c r="CK32" i="1"/>
  <c r="CJ32" i="1"/>
  <c r="CI32" i="1"/>
  <c r="CH32" i="1"/>
  <c r="CG32" i="1"/>
  <c r="CF32" i="1"/>
  <c r="CE32" i="1"/>
  <c r="CD32" i="1"/>
  <c r="CC32" i="1"/>
  <c r="CB32" i="1"/>
  <c r="CA32" i="1"/>
  <c r="BZ32" i="1"/>
  <c r="BY32" i="1"/>
  <c r="BX32" i="1"/>
  <c r="BW32" i="1"/>
  <c r="BV32" i="1"/>
  <c r="BU32" i="1"/>
  <c r="BT32" i="1"/>
  <c r="BS32" i="1"/>
  <c r="BR32" i="1"/>
  <c r="BQ32" i="1"/>
  <c r="BP32" i="1"/>
  <c r="BO32" i="1"/>
  <c r="BN32" i="1"/>
  <c r="BM32" i="1"/>
  <c r="BL32" i="1"/>
  <c r="BK32" i="1"/>
  <c r="BJ32" i="1"/>
  <c r="BI32" i="1"/>
  <c r="BH32" i="1"/>
  <c r="BG32" i="1"/>
  <c r="BF32" i="1"/>
  <c r="BE32" i="1"/>
  <c r="BD32" i="1"/>
  <c r="BC32" i="1"/>
  <c r="BB32" i="1"/>
  <c r="BA32" i="1"/>
  <c r="AZ32" i="1"/>
  <c r="AY32" i="1"/>
  <c r="AX32" i="1"/>
  <c r="AW32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E32" i="1" s="1"/>
  <c r="J32" i="1"/>
  <c r="I32" i="1"/>
  <c r="H32" i="1"/>
  <c r="G32" i="1"/>
  <c r="F32" i="1"/>
  <c r="D32" i="1" s="1"/>
  <c r="CS31" i="1"/>
  <c r="CR31" i="1"/>
  <c r="CQ31" i="1"/>
  <c r="CP31" i="1"/>
  <c r="CO31" i="1"/>
  <c r="CN31" i="1"/>
  <c r="CM31" i="1"/>
  <c r="CL31" i="1"/>
  <c r="CK31" i="1"/>
  <c r="CJ31" i="1"/>
  <c r="CI31" i="1"/>
  <c r="CH31" i="1"/>
  <c r="CG31" i="1"/>
  <c r="CF31" i="1"/>
  <c r="CE31" i="1"/>
  <c r="CD31" i="1"/>
  <c r="CC31" i="1"/>
  <c r="CB31" i="1"/>
  <c r="CA31" i="1"/>
  <c r="BZ31" i="1"/>
  <c r="BY31" i="1"/>
  <c r="BX31" i="1"/>
  <c r="BW31" i="1"/>
  <c r="BV31" i="1"/>
  <c r="BU31" i="1"/>
  <c r="BT31" i="1"/>
  <c r="BS31" i="1"/>
  <c r="BR31" i="1"/>
  <c r="BQ31" i="1"/>
  <c r="BP31" i="1"/>
  <c r="BO31" i="1"/>
  <c r="BN31" i="1"/>
  <c r="BM31" i="1"/>
  <c r="BL31" i="1"/>
  <c r="BK31" i="1"/>
  <c r="BJ31" i="1"/>
  <c r="BI31" i="1"/>
  <c r="BH31" i="1"/>
  <c r="BG31" i="1"/>
  <c r="BF31" i="1"/>
  <c r="BE31" i="1"/>
  <c r="BD31" i="1"/>
  <c r="BC31" i="1"/>
  <c r="BB31" i="1"/>
  <c r="BA31" i="1"/>
  <c r="AZ31" i="1"/>
  <c r="AY31" i="1"/>
  <c r="AX31" i="1"/>
  <c r="AW31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D31" i="1" s="1"/>
  <c r="C31" i="1" s="1"/>
  <c r="I31" i="1"/>
  <c r="E31" i="1" s="1"/>
  <c r="H31" i="1"/>
  <c r="G31" i="1"/>
  <c r="F31" i="1"/>
  <c r="CS30" i="1"/>
  <c r="CR30" i="1"/>
  <c r="CQ30" i="1"/>
  <c r="CP30" i="1"/>
  <c r="CO30" i="1"/>
  <c r="CN30" i="1"/>
  <c r="CM30" i="1"/>
  <c r="CL30" i="1"/>
  <c r="CK30" i="1"/>
  <c r="CJ30" i="1"/>
  <c r="CI30" i="1"/>
  <c r="CH30" i="1"/>
  <c r="CG30" i="1"/>
  <c r="CF30" i="1"/>
  <c r="CE30" i="1"/>
  <c r="CD30" i="1"/>
  <c r="CC30" i="1"/>
  <c r="CB30" i="1"/>
  <c r="CA30" i="1"/>
  <c r="BZ30" i="1"/>
  <c r="BY30" i="1"/>
  <c r="BX30" i="1"/>
  <c r="BW30" i="1"/>
  <c r="BV30" i="1"/>
  <c r="BU30" i="1"/>
  <c r="BT30" i="1"/>
  <c r="BS30" i="1"/>
  <c r="BR30" i="1"/>
  <c r="BQ30" i="1"/>
  <c r="BP30" i="1"/>
  <c r="BO30" i="1"/>
  <c r="BN30" i="1"/>
  <c r="BM30" i="1"/>
  <c r="BL30" i="1"/>
  <c r="BK30" i="1"/>
  <c r="BJ30" i="1"/>
  <c r="BI30" i="1"/>
  <c r="BH30" i="1"/>
  <c r="BG30" i="1"/>
  <c r="BF30" i="1"/>
  <c r="BE30" i="1"/>
  <c r="BD30" i="1"/>
  <c r="BC30" i="1"/>
  <c r="BB30" i="1"/>
  <c r="BA30" i="1"/>
  <c r="AZ30" i="1"/>
  <c r="AY30" i="1"/>
  <c r="AX30" i="1"/>
  <c r="AW30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G30" i="1"/>
  <c r="E30" i="1" s="1"/>
  <c r="F30" i="1"/>
  <c r="D30" i="1" s="1"/>
  <c r="C30" i="1" s="1"/>
  <c r="CS29" i="1"/>
  <c r="CR29" i="1"/>
  <c r="CQ29" i="1"/>
  <c r="CP29" i="1"/>
  <c r="CO29" i="1"/>
  <c r="CN29" i="1"/>
  <c r="CM29" i="1"/>
  <c r="CL29" i="1"/>
  <c r="CK29" i="1"/>
  <c r="CJ29" i="1"/>
  <c r="CI29" i="1"/>
  <c r="CH29" i="1"/>
  <c r="CG29" i="1"/>
  <c r="CF29" i="1"/>
  <c r="CE29" i="1"/>
  <c r="CD29" i="1"/>
  <c r="CC29" i="1"/>
  <c r="CB29" i="1"/>
  <c r="CA29" i="1"/>
  <c r="BZ29" i="1"/>
  <c r="BY29" i="1"/>
  <c r="BX29" i="1"/>
  <c r="BW29" i="1"/>
  <c r="BV29" i="1"/>
  <c r="BU29" i="1"/>
  <c r="BT29" i="1"/>
  <c r="BS29" i="1"/>
  <c r="BR29" i="1"/>
  <c r="BQ29" i="1"/>
  <c r="BP29" i="1"/>
  <c r="BO29" i="1"/>
  <c r="BN29" i="1"/>
  <c r="BM29" i="1"/>
  <c r="BL29" i="1"/>
  <c r="BK29" i="1"/>
  <c r="BJ29" i="1"/>
  <c r="BI29" i="1"/>
  <c r="BH29" i="1"/>
  <c r="BG29" i="1"/>
  <c r="BF29" i="1"/>
  <c r="BE29" i="1"/>
  <c r="BD29" i="1"/>
  <c r="BC29" i="1"/>
  <c r="BB29" i="1"/>
  <c r="BA29" i="1"/>
  <c r="AZ29" i="1"/>
  <c r="AY29" i="1"/>
  <c r="AX29" i="1"/>
  <c r="AW29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E29" i="1" s="1"/>
  <c r="F29" i="1"/>
  <c r="D29" i="1" s="1"/>
  <c r="C29" i="1" s="1"/>
  <c r="CS28" i="1"/>
  <c r="CR28" i="1"/>
  <c r="CQ28" i="1"/>
  <c r="CP28" i="1"/>
  <c r="CO28" i="1"/>
  <c r="CN28" i="1"/>
  <c r="CM28" i="1"/>
  <c r="CL28" i="1"/>
  <c r="CK28" i="1"/>
  <c r="CJ28" i="1"/>
  <c r="CI28" i="1"/>
  <c r="CH28" i="1"/>
  <c r="CG28" i="1"/>
  <c r="CF28" i="1"/>
  <c r="CE28" i="1"/>
  <c r="CD28" i="1"/>
  <c r="CC28" i="1"/>
  <c r="CB28" i="1"/>
  <c r="CA28" i="1"/>
  <c r="BZ28" i="1"/>
  <c r="BY28" i="1"/>
  <c r="BX28" i="1"/>
  <c r="BW28" i="1"/>
  <c r="BV28" i="1"/>
  <c r="BU28" i="1"/>
  <c r="BT28" i="1"/>
  <c r="BS28" i="1"/>
  <c r="BR28" i="1"/>
  <c r="BQ28" i="1"/>
  <c r="BP28" i="1"/>
  <c r="BO28" i="1"/>
  <c r="BN28" i="1"/>
  <c r="BM28" i="1"/>
  <c r="BL28" i="1"/>
  <c r="BK28" i="1"/>
  <c r="BJ28" i="1"/>
  <c r="BI28" i="1"/>
  <c r="BH28" i="1"/>
  <c r="BG28" i="1"/>
  <c r="BF28" i="1"/>
  <c r="BE28" i="1"/>
  <c r="BD28" i="1"/>
  <c r="BC28" i="1"/>
  <c r="BB28" i="1"/>
  <c r="BA28" i="1"/>
  <c r="AZ28" i="1"/>
  <c r="AY28" i="1"/>
  <c r="AX28" i="1"/>
  <c r="AW28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D28" i="1" s="1"/>
  <c r="C28" i="1" s="1"/>
  <c r="M28" i="1"/>
  <c r="L28" i="1"/>
  <c r="K28" i="1"/>
  <c r="J28" i="1"/>
  <c r="I28" i="1"/>
  <c r="H28" i="1"/>
  <c r="G28" i="1"/>
  <c r="E28" i="1" s="1"/>
  <c r="F28" i="1"/>
  <c r="CS27" i="1"/>
  <c r="CR27" i="1"/>
  <c r="CQ27" i="1"/>
  <c r="CP27" i="1"/>
  <c r="CO27" i="1"/>
  <c r="CN27" i="1"/>
  <c r="CM27" i="1"/>
  <c r="CL27" i="1"/>
  <c r="CK27" i="1"/>
  <c r="CJ27" i="1"/>
  <c r="CI27" i="1"/>
  <c r="CH27" i="1"/>
  <c r="CG27" i="1"/>
  <c r="CF27" i="1"/>
  <c r="CE27" i="1"/>
  <c r="CD27" i="1"/>
  <c r="CC27" i="1"/>
  <c r="CB27" i="1"/>
  <c r="CA27" i="1"/>
  <c r="BZ27" i="1"/>
  <c r="BY27" i="1"/>
  <c r="BX27" i="1"/>
  <c r="BW27" i="1"/>
  <c r="BV27" i="1"/>
  <c r="BU27" i="1"/>
  <c r="BT27" i="1"/>
  <c r="BS27" i="1"/>
  <c r="BR27" i="1"/>
  <c r="BQ27" i="1"/>
  <c r="BP27" i="1"/>
  <c r="BO27" i="1"/>
  <c r="BN27" i="1"/>
  <c r="BM27" i="1"/>
  <c r="BL27" i="1"/>
  <c r="BK27" i="1"/>
  <c r="BJ27" i="1"/>
  <c r="BI27" i="1"/>
  <c r="BH27" i="1"/>
  <c r="BG27" i="1"/>
  <c r="BF27" i="1"/>
  <c r="BE27" i="1"/>
  <c r="BD27" i="1"/>
  <c r="BC27" i="1"/>
  <c r="BB27" i="1"/>
  <c r="BA27" i="1"/>
  <c r="AZ27" i="1"/>
  <c r="AY27" i="1"/>
  <c r="AX27" i="1"/>
  <c r="AW27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E27" i="1" s="1"/>
  <c r="F27" i="1"/>
  <c r="D27" i="1" s="1"/>
  <c r="C27" i="1" s="1"/>
  <c r="CS26" i="1"/>
  <c r="CR26" i="1"/>
  <c r="CQ26" i="1"/>
  <c r="CP26" i="1"/>
  <c r="CO26" i="1"/>
  <c r="CN26" i="1"/>
  <c r="CM26" i="1"/>
  <c r="CL26" i="1"/>
  <c r="CK26" i="1"/>
  <c r="CJ26" i="1"/>
  <c r="CI26" i="1"/>
  <c r="CH26" i="1"/>
  <c r="CG26" i="1"/>
  <c r="CF26" i="1"/>
  <c r="CE26" i="1"/>
  <c r="CD26" i="1"/>
  <c r="CC26" i="1"/>
  <c r="CB26" i="1"/>
  <c r="CA26" i="1"/>
  <c r="BZ26" i="1"/>
  <c r="BY26" i="1"/>
  <c r="BX26" i="1"/>
  <c r="BW26" i="1"/>
  <c r="BV26" i="1"/>
  <c r="BU26" i="1"/>
  <c r="BT26" i="1"/>
  <c r="BS26" i="1"/>
  <c r="BR26" i="1"/>
  <c r="BQ26" i="1"/>
  <c r="BP26" i="1"/>
  <c r="BO26" i="1"/>
  <c r="BN26" i="1"/>
  <c r="BM26" i="1"/>
  <c r="BL26" i="1"/>
  <c r="BK26" i="1"/>
  <c r="BJ26" i="1"/>
  <c r="BI26" i="1"/>
  <c r="BH26" i="1"/>
  <c r="BG26" i="1"/>
  <c r="BF26" i="1"/>
  <c r="BE26" i="1"/>
  <c r="BD26" i="1"/>
  <c r="BC26" i="1"/>
  <c r="BB26" i="1"/>
  <c r="BA26" i="1"/>
  <c r="AZ26" i="1"/>
  <c r="AY26" i="1"/>
  <c r="AX26" i="1"/>
  <c r="AW26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E26" i="1" s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D26" i="1" s="1"/>
  <c r="C26" i="1" s="1"/>
  <c r="CS25" i="1"/>
  <c r="CR25" i="1"/>
  <c r="CQ25" i="1"/>
  <c r="CP25" i="1"/>
  <c r="CO25" i="1"/>
  <c r="CN25" i="1"/>
  <c r="CM25" i="1"/>
  <c r="CL25" i="1"/>
  <c r="CK25" i="1"/>
  <c r="CJ25" i="1"/>
  <c r="CI25" i="1"/>
  <c r="CH25" i="1"/>
  <c r="CG25" i="1"/>
  <c r="CF25" i="1"/>
  <c r="CE25" i="1"/>
  <c r="CD25" i="1"/>
  <c r="CC25" i="1"/>
  <c r="CB25" i="1"/>
  <c r="CA25" i="1"/>
  <c r="BZ25" i="1"/>
  <c r="BY25" i="1"/>
  <c r="BX25" i="1"/>
  <c r="BW25" i="1"/>
  <c r="BV25" i="1"/>
  <c r="BU25" i="1"/>
  <c r="BT25" i="1"/>
  <c r="BS25" i="1"/>
  <c r="BR25" i="1"/>
  <c r="BQ25" i="1"/>
  <c r="BP25" i="1"/>
  <c r="BO25" i="1"/>
  <c r="BN25" i="1"/>
  <c r="BM25" i="1"/>
  <c r="BL25" i="1"/>
  <c r="BK25" i="1"/>
  <c r="BJ25" i="1"/>
  <c r="BI25" i="1"/>
  <c r="BH25" i="1"/>
  <c r="BG25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D25" i="1" s="1"/>
  <c r="C25" i="1" s="1"/>
  <c r="S25" i="1"/>
  <c r="R25" i="1"/>
  <c r="Q25" i="1"/>
  <c r="P25" i="1"/>
  <c r="O25" i="1"/>
  <c r="N25" i="1"/>
  <c r="M25" i="1"/>
  <c r="L25" i="1"/>
  <c r="K25" i="1"/>
  <c r="J25" i="1"/>
  <c r="I25" i="1"/>
  <c r="E25" i="1" s="1"/>
  <c r="H25" i="1"/>
  <c r="G25" i="1"/>
  <c r="F25" i="1"/>
  <c r="CS24" i="1"/>
  <c r="CR24" i="1"/>
  <c r="CQ24" i="1"/>
  <c r="CP24" i="1"/>
  <c r="CO24" i="1"/>
  <c r="CN24" i="1"/>
  <c r="CM24" i="1"/>
  <c r="CL24" i="1"/>
  <c r="CK24" i="1"/>
  <c r="CJ24" i="1"/>
  <c r="CI24" i="1"/>
  <c r="CH24" i="1"/>
  <c r="CG24" i="1"/>
  <c r="CF24" i="1"/>
  <c r="CE24" i="1"/>
  <c r="CD24" i="1"/>
  <c r="CC24" i="1"/>
  <c r="CB24" i="1"/>
  <c r="CA24" i="1"/>
  <c r="BZ24" i="1"/>
  <c r="BY24" i="1"/>
  <c r="BX24" i="1"/>
  <c r="BW24" i="1"/>
  <c r="BV24" i="1"/>
  <c r="BU24" i="1"/>
  <c r="BT24" i="1"/>
  <c r="BS24" i="1"/>
  <c r="BR24" i="1"/>
  <c r="BQ24" i="1"/>
  <c r="BP24" i="1"/>
  <c r="BO24" i="1"/>
  <c r="BN24" i="1"/>
  <c r="BM24" i="1"/>
  <c r="BL24" i="1"/>
  <c r="BK24" i="1"/>
  <c r="BJ24" i="1"/>
  <c r="BI24" i="1"/>
  <c r="BH24" i="1"/>
  <c r="BG24" i="1"/>
  <c r="BF24" i="1"/>
  <c r="BE24" i="1"/>
  <c r="BD24" i="1"/>
  <c r="BC24" i="1"/>
  <c r="BB24" i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E24" i="1" s="1"/>
  <c r="H24" i="1"/>
  <c r="D24" i="1" s="1"/>
  <c r="G24" i="1"/>
  <c r="F24" i="1"/>
  <c r="CS23" i="1"/>
  <c r="CR23" i="1"/>
  <c r="CQ23" i="1"/>
  <c r="CP23" i="1"/>
  <c r="CO23" i="1"/>
  <c r="CN23" i="1"/>
  <c r="CM23" i="1"/>
  <c r="CL23" i="1"/>
  <c r="CK23" i="1"/>
  <c r="CJ23" i="1"/>
  <c r="CI23" i="1"/>
  <c r="CH23" i="1"/>
  <c r="CG23" i="1"/>
  <c r="CF23" i="1"/>
  <c r="CE23" i="1"/>
  <c r="CD23" i="1"/>
  <c r="CC23" i="1"/>
  <c r="CB23" i="1"/>
  <c r="CA23" i="1"/>
  <c r="BZ23" i="1"/>
  <c r="BY23" i="1"/>
  <c r="BX23" i="1"/>
  <c r="BW23" i="1"/>
  <c r="BV23" i="1"/>
  <c r="BU23" i="1"/>
  <c r="BT23" i="1"/>
  <c r="BS23" i="1"/>
  <c r="BR23" i="1"/>
  <c r="BQ23" i="1"/>
  <c r="BP23" i="1"/>
  <c r="BO23" i="1"/>
  <c r="BN23" i="1"/>
  <c r="BM23" i="1"/>
  <c r="BL23" i="1"/>
  <c r="BK23" i="1"/>
  <c r="BJ23" i="1"/>
  <c r="BI23" i="1"/>
  <c r="BH23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E23" i="1" s="1"/>
  <c r="F23" i="1"/>
  <c r="D23" i="1" s="1"/>
  <c r="C23" i="1" s="1"/>
  <c r="CS22" i="1"/>
  <c r="CR22" i="1"/>
  <c r="CQ22" i="1"/>
  <c r="CP22" i="1"/>
  <c r="CO22" i="1"/>
  <c r="CN22" i="1"/>
  <c r="CM22" i="1"/>
  <c r="CL22" i="1"/>
  <c r="CK22" i="1"/>
  <c r="CJ22" i="1"/>
  <c r="CI22" i="1"/>
  <c r="CH22" i="1"/>
  <c r="CG22" i="1"/>
  <c r="CF22" i="1"/>
  <c r="CE22" i="1"/>
  <c r="CD22" i="1"/>
  <c r="CC22" i="1"/>
  <c r="CB22" i="1"/>
  <c r="CA22" i="1"/>
  <c r="BZ22" i="1"/>
  <c r="BY22" i="1"/>
  <c r="BX22" i="1"/>
  <c r="BW22" i="1"/>
  <c r="BV22" i="1"/>
  <c r="BU22" i="1"/>
  <c r="BT22" i="1"/>
  <c r="BS22" i="1"/>
  <c r="BR22" i="1"/>
  <c r="BQ22" i="1"/>
  <c r="BP22" i="1"/>
  <c r="BO22" i="1"/>
  <c r="BN22" i="1"/>
  <c r="BM22" i="1"/>
  <c r="BL22" i="1"/>
  <c r="BK22" i="1"/>
  <c r="BJ22" i="1"/>
  <c r="BI22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E22" i="1" s="1"/>
  <c r="F22" i="1"/>
  <c r="D22" i="1" s="1"/>
  <c r="C22" i="1" s="1"/>
  <c r="CS21" i="1"/>
  <c r="CR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E21" i="1"/>
  <c r="CD21" i="1"/>
  <c r="CC21" i="1"/>
  <c r="CB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E21" i="1" s="1"/>
  <c r="F21" i="1"/>
  <c r="D21" i="1" s="1"/>
  <c r="C21" i="1" s="1"/>
  <c r="CS20" i="1"/>
  <c r="CR20" i="1"/>
  <c r="CQ20" i="1"/>
  <c r="CP20" i="1"/>
  <c r="CO20" i="1"/>
  <c r="CN20" i="1"/>
  <c r="CM20" i="1"/>
  <c r="CL20" i="1"/>
  <c r="CK20" i="1"/>
  <c r="CJ20" i="1"/>
  <c r="CI20" i="1"/>
  <c r="CH20" i="1"/>
  <c r="CG20" i="1"/>
  <c r="CF20" i="1"/>
  <c r="CE20" i="1"/>
  <c r="CD20" i="1"/>
  <c r="CC20" i="1"/>
  <c r="CB20" i="1"/>
  <c r="CA20" i="1"/>
  <c r="BZ20" i="1"/>
  <c r="BY20" i="1"/>
  <c r="BX20" i="1"/>
  <c r="BW20" i="1"/>
  <c r="BV20" i="1"/>
  <c r="BU20" i="1"/>
  <c r="BT20" i="1"/>
  <c r="BS20" i="1"/>
  <c r="BR20" i="1"/>
  <c r="BQ20" i="1"/>
  <c r="BP20" i="1"/>
  <c r="BO20" i="1"/>
  <c r="BN20" i="1"/>
  <c r="BM20" i="1"/>
  <c r="BL20" i="1"/>
  <c r="BK20" i="1"/>
  <c r="BJ20" i="1"/>
  <c r="BI20" i="1"/>
  <c r="BH20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E20" i="1" s="1"/>
  <c r="N20" i="1"/>
  <c r="M20" i="1"/>
  <c r="L20" i="1"/>
  <c r="K20" i="1"/>
  <c r="J20" i="1"/>
  <c r="I20" i="1"/>
  <c r="H20" i="1"/>
  <c r="G20" i="1"/>
  <c r="F20" i="1"/>
  <c r="D20" i="1" s="1"/>
  <c r="CS19" i="1"/>
  <c r="CR19" i="1"/>
  <c r="CQ19" i="1"/>
  <c r="CP19" i="1"/>
  <c r="CO19" i="1"/>
  <c r="CN19" i="1"/>
  <c r="CM19" i="1"/>
  <c r="CL19" i="1"/>
  <c r="CK19" i="1"/>
  <c r="CJ19" i="1"/>
  <c r="CI19" i="1"/>
  <c r="CH19" i="1"/>
  <c r="CG19" i="1"/>
  <c r="CF19" i="1"/>
  <c r="CE19" i="1"/>
  <c r="CD19" i="1"/>
  <c r="CC19" i="1"/>
  <c r="CB19" i="1"/>
  <c r="CA19" i="1"/>
  <c r="BZ19" i="1"/>
  <c r="BY19" i="1"/>
  <c r="BX19" i="1"/>
  <c r="BW19" i="1"/>
  <c r="BV19" i="1"/>
  <c r="BU19" i="1"/>
  <c r="BT19" i="1"/>
  <c r="BS19" i="1"/>
  <c r="BR19" i="1"/>
  <c r="BQ19" i="1"/>
  <c r="BP19" i="1"/>
  <c r="BO19" i="1"/>
  <c r="BN19" i="1"/>
  <c r="BM19" i="1"/>
  <c r="BL19" i="1"/>
  <c r="BK19" i="1"/>
  <c r="BJ19" i="1"/>
  <c r="BI19" i="1"/>
  <c r="BH19" i="1"/>
  <c r="BG19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D19" i="1" s="1"/>
  <c r="C19" i="1" s="1"/>
  <c r="M19" i="1"/>
  <c r="L19" i="1"/>
  <c r="K19" i="1"/>
  <c r="J19" i="1"/>
  <c r="I19" i="1"/>
  <c r="H19" i="1"/>
  <c r="G19" i="1"/>
  <c r="F19" i="1"/>
  <c r="E19" i="1"/>
  <c r="CS18" i="1"/>
  <c r="CR18" i="1"/>
  <c r="CQ18" i="1"/>
  <c r="CP18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C18" i="1"/>
  <c r="CB18" i="1"/>
  <c r="CA18" i="1"/>
  <c r="BZ18" i="1"/>
  <c r="BY18" i="1"/>
  <c r="BX18" i="1"/>
  <c r="BW18" i="1"/>
  <c r="BV18" i="1"/>
  <c r="BU18" i="1"/>
  <c r="BT18" i="1"/>
  <c r="BS18" i="1"/>
  <c r="BR18" i="1"/>
  <c r="BQ18" i="1"/>
  <c r="BP18" i="1"/>
  <c r="BO18" i="1"/>
  <c r="BN18" i="1"/>
  <c r="BM18" i="1"/>
  <c r="BL18" i="1"/>
  <c r="BK18" i="1"/>
  <c r="BJ18" i="1"/>
  <c r="BI18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E18" i="1" s="1"/>
  <c r="C18" i="1" s="1"/>
  <c r="L18" i="1"/>
  <c r="K18" i="1"/>
  <c r="J18" i="1"/>
  <c r="I18" i="1"/>
  <c r="H18" i="1"/>
  <c r="G18" i="1"/>
  <c r="F18" i="1"/>
  <c r="D18" i="1"/>
  <c r="CS17" i="1"/>
  <c r="CR17" i="1"/>
  <c r="CQ17" i="1"/>
  <c r="CP17" i="1"/>
  <c r="CO17" i="1"/>
  <c r="CN17" i="1"/>
  <c r="CM17" i="1"/>
  <c r="CL17" i="1"/>
  <c r="CK17" i="1"/>
  <c r="CJ17" i="1"/>
  <c r="CI17" i="1"/>
  <c r="CH17" i="1"/>
  <c r="CG17" i="1"/>
  <c r="CF17" i="1"/>
  <c r="CE17" i="1"/>
  <c r="CD17" i="1"/>
  <c r="CC17" i="1"/>
  <c r="CB17" i="1"/>
  <c r="CA17" i="1"/>
  <c r="BZ17" i="1"/>
  <c r="BY17" i="1"/>
  <c r="BX17" i="1"/>
  <c r="BW17" i="1"/>
  <c r="BV17" i="1"/>
  <c r="BU17" i="1"/>
  <c r="BT17" i="1"/>
  <c r="BS17" i="1"/>
  <c r="BR17" i="1"/>
  <c r="BQ17" i="1"/>
  <c r="BP17" i="1"/>
  <c r="BO17" i="1"/>
  <c r="BN17" i="1"/>
  <c r="BM17" i="1"/>
  <c r="BL17" i="1"/>
  <c r="BK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D17" i="1" s="1"/>
  <c r="K17" i="1"/>
  <c r="J17" i="1"/>
  <c r="I17" i="1"/>
  <c r="E17" i="1" s="1"/>
  <c r="H17" i="1"/>
  <c r="G17" i="1"/>
  <c r="F17" i="1"/>
  <c r="CS16" i="1"/>
  <c r="CR16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E16" i="1" s="1"/>
  <c r="J16" i="1"/>
  <c r="I16" i="1"/>
  <c r="H16" i="1"/>
  <c r="G16" i="1"/>
  <c r="F16" i="1"/>
  <c r="D16" i="1" s="1"/>
  <c r="CS15" i="1"/>
  <c r="CR15" i="1"/>
  <c r="CQ15" i="1"/>
  <c r="CP15" i="1"/>
  <c r="CO15" i="1"/>
  <c r="CN15" i="1"/>
  <c r="CM15" i="1"/>
  <c r="CL15" i="1"/>
  <c r="CK15" i="1"/>
  <c r="CJ15" i="1"/>
  <c r="CI15" i="1"/>
  <c r="CH15" i="1"/>
  <c r="CG15" i="1"/>
  <c r="CF15" i="1"/>
  <c r="CE15" i="1"/>
  <c r="CD15" i="1"/>
  <c r="CC15" i="1"/>
  <c r="CB15" i="1"/>
  <c r="CA15" i="1"/>
  <c r="BZ15" i="1"/>
  <c r="BY15" i="1"/>
  <c r="BX15" i="1"/>
  <c r="BW15" i="1"/>
  <c r="BV15" i="1"/>
  <c r="BU15" i="1"/>
  <c r="BT15" i="1"/>
  <c r="BS15" i="1"/>
  <c r="BR15" i="1"/>
  <c r="BQ15" i="1"/>
  <c r="BP15" i="1"/>
  <c r="BO15" i="1"/>
  <c r="BN15" i="1"/>
  <c r="BM15" i="1"/>
  <c r="BL15" i="1"/>
  <c r="BK15" i="1"/>
  <c r="BJ15" i="1"/>
  <c r="BI15" i="1"/>
  <c r="BH15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E15" i="1" s="1"/>
  <c r="F15" i="1"/>
  <c r="D15" i="1" s="1"/>
  <c r="CS14" i="1"/>
  <c r="CR14" i="1"/>
  <c r="CQ14" i="1"/>
  <c r="CP14" i="1"/>
  <c r="CO14" i="1"/>
  <c r="CN14" i="1"/>
  <c r="CM14" i="1"/>
  <c r="CL14" i="1"/>
  <c r="CK14" i="1"/>
  <c r="CJ14" i="1"/>
  <c r="CI14" i="1"/>
  <c r="CH14" i="1"/>
  <c r="CG14" i="1"/>
  <c r="CF14" i="1"/>
  <c r="CE14" i="1"/>
  <c r="CD14" i="1"/>
  <c r="CC14" i="1"/>
  <c r="CB14" i="1"/>
  <c r="CA14" i="1"/>
  <c r="BZ14" i="1"/>
  <c r="BY14" i="1"/>
  <c r="BX14" i="1"/>
  <c r="BW14" i="1"/>
  <c r="BV14" i="1"/>
  <c r="BU14" i="1"/>
  <c r="BT14" i="1"/>
  <c r="BS14" i="1"/>
  <c r="BR14" i="1"/>
  <c r="BQ14" i="1"/>
  <c r="BP14" i="1"/>
  <c r="BO14" i="1"/>
  <c r="BN14" i="1"/>
  <c r="BM14" i="1"/>
  <c r="BL14" i="1"/>
  <c r="BK14" i="1"/>
  <c r="BJ14" i="1"/>
  <c r="BI14" i="1"/>
  <c r="BH14" i="1"/>
  <c r="BG14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E14" i="1" s="1"/>
  <c r="F14" i="1"/>
  <c r="D14" i="1" s="1"/>
  <c r="C14" i="1" s="1"/>
  <c r="CS13" i="1"/>
  <c r="CR13" i="1"/>
  <c r="CQ13" i="1"/>
  <c r="CP13" i="1"/>
  <c r="CO13" i="1"/>
  <c r="CN13" i="1"/>
  <c r="CM13" i="1"/>
  <c r="CL13" i="1"/>
  <c r="CK13" i="1"/>
  <c r="CJ13" i="1"/>
  <c r="CI13" i="1"/>
  <c r="CH13" i="1"/>
  <c r="CG13" i="1"/>
  <c r="CF13" i="1"/>
  <c r="CE13" i="1"/>
  <c r="CD13" i="1"/>
  <c r="CC13" i="1"/>
  <c r="CB13" i="1"/>
  <c r="CA13" i="1"/>
  <c r="BZ13" i="1"/>
  <c r="BY13" i="1"/>
  <c r="BX13" i="1"/>
  <c r="BW13" i="1"/>
  <c r="BV13" i="1"/>
  <c r="BU13" i="1"/>
  <c r="BT13" i="1"/>
  <c r="BS13" i="1"/>
  <c r="BR13" i="1"/>
  <c r="BQ13" i="1"/>
  <c r="BP13" i="1"/>
  <c r="BO13" i="1"/>
  <c r="BN13" i="1"/>
  <c r="BM13" i="1"/>
  <c r="BL13" i="1"/>
  <c r="BK13" i="1"/>
  <c r="BJ13" i="1"/>
  <c r="BI13" i="1"/>
  <c r="BH13" i="1"/>
  <c r="BG13" i="1"/>
  <c r="BF13" i="1"/>
  <c r="BE13" i="1"/>
  <c r="BD13" i="1"/>
  <c r="BC13" i="1"/>
  <c r="BB13" i="1"/>
  <c r="BA13" i="1"/>
  <c r="AZ13" i="1"/>
  <c r="AY13" i="1"/>
  <c r="AX13" i="1"/>
  <c r="AW13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E13" i="1" s="1"/>
  <c r="N13" i="1"/>
  <c r="M13" i="1"/>
  <c r="L13" i="1"/>
  <c r="K13" i="1"/>
  <c r="J13" i="1"/>
  <c r="I13" i="1"/>
  <c r="H13" i="1"/>
  <c r="G13" i="1"/>
  <c r="F13" i="1"/>
  <c r="D13" i="1" s="1"/>
  <c r="CS12" i="1"/>
  <c r="CR12" i="1"/>
  <c r="CQ12" i="1"/>
  <c r="CP12" i="1"/>
  <c r="CO12" i="1"/>
  <c r="CN12" i="1"/>
  <c r="CM12" i="1"/>
  <c r="CL12" i="1"/>
  <c r="CK12" i="1"/>
  <c r="CJ12" i="1"/>
  <c r="CI12" i="1"/>
  <c r="CH12" i="1"/>
  <c r="CG12" i="1"/>
  <c r="CF12" i="1"/>
  <c r="CE12" i="1"/>
  <c r="CD12" i="1"/>
  <c r="CC12" i="1"/>
  <c r="CB12" i="1"/>
  <c r="CA12" i="1"/>
  <c r="BZ12" i="1"/>
  <c r="BY12" i="1"/>
  <c r="BX12" i="1"/>
  <c r="BW12" i="1"/>
  <c r="BV12" i="1"/>
  <c r="BU12" i="1"/>
  <c r="BT12" i="1"/>
  <c r="BS12" i="1"/>
  <c r="BR12" i="1"/>
  <c r="BQ12" i="1"/>
  <c r="BP12" i="1"/>
  <c r="BO12" i="1"/>
  <c r="BN12" i="1"/>
  <c r="BM12" i="1"/>
  <c r="BL12" i="1"/>
  <c r="BK12" i="1"/>
  <c r="BJ12" i="1"/>
  <c r="BI12" i="1"/>
  <c r="BH12" i="1"/>
  <c r="BG12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D12" i="1" s="1"/>
  <c r="C12" i="1" s="1"/>
  <c r="M12" i="1"/>
  <c r="L12" i="1"/>
  <c r="K12" i="1"/>
  <c r="J12" i="1"/>
  <c r="I12" i="1"/>
  <c r="H12" i="1"/>
  <c r="G12" i="1"/>
  <c r="E12" i="1" s="1"/>
  <c r="F12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CA11" i="1"/>
  <c r="BZ11" i="1"/>
  <c r="BY11" i="1"/>
  <c r="BX11" i="1"/>
  <c r="BW11" i="1"/>
  <c r="BV11" i="1"/>
  <c r="BU11" i="1"/>
  <c r="BT11" i="1"/>
  <c r="BS11" i="1"/>
  <c r="BR11" i="1"/>
  <c r="BQ11" i="1"/>
  <c r="BP11" i="1"/>
  <c r="BO11" i="1"/>
  <c r="BN11" i="1"/>
  <c r="BM11" i="1"/>
  <c r="BL11" i="1"/>
  <c r="BK11" i="1"/>
  <c r="BJ11" i="1"/>
  <c r="BI11" i="1"/>
  <c r="BH11" i="1"/>
  <c r="BG11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E11" i="1" s="1"/>
  <c r="J11" i="1"/>
  <c r="I11" i="1"/>
  <c r="H11" i="1"/>
  <c r="G11" i="1"/>
  <c r="F11" i="1"/>
  <c r="D11" i="1" s="1"/>
  <c r="C11" i="1" s="1"/>
  <c r="CS10" i="1"/>
  <c r="CR10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BZ10" i="1"/>
  <c r="BY10" i="1"/>
  <c r="BX10" i="1"/>
  <c r="BW10" i="1"/>
  <c r="BV10" i="1"/>
  <c r="BU10" i="1"/>
  <c r="BT10" i="1"/>
  <c r="BS10" i="1"/>
  <c r="BR10" i="1"/>
  <c r="BQ10" i="1"/>
  <c r="BP10" i="1"/>
  <c r="BO10" i="1"/>
  <c r="BN10" i="1"/>
  <c r="BM10" i="1"/>
  <c r="BL10" i="1"/>
  <c r="BK10" i="1"/>
  <c r="BJ10" i="1"/>
  <c r="BI10" i="1"/>
  <c r="BH10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E10" i="1" s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D10" i="1" s="1"/>
  <c r="CS9" i="1"/>
  <c r="CR9" i="1"/>
  <c r="CQ9" i="1"/>
  <c r="CP9" i="1"/>
  <c r="CO9" i="1"/>
  <c r="CN9" i="1"/>
  <c r="CM9" i="1"/>
  <c r="CL9" i="1"/>
  <c r="CK9" i="1"/>
  <c r="CJ9" i="1"/>
  <c r="CI9" i="1"/>
  <c r="CH9" i="1"/>
  <c r="CG9" i="1"/>
  <c r="CF9" i="1"/>
  <c r="CE9" i="1"/>
  <c r="CD9" i="1"/>
  <c r="CC9" i="1"/>
  <c r="CB9" i="1"/>
  <c r="CA9" i="1"/>
  <c r="BZ9" i="1"/>
  <c r="BY9" i="1"/>
  <c r="BX9" i="1"/>
  <c r="BW9" i="1"/>
  <c r="BV9" i="1"/>
  <c r="BU9" i="1"/>
  <c r="BT9" i="1"/>
  <c r="BS9" i="1"/>
  <c r="BR9" i="1"/>
  <c r="BQ9" i="1"/>
  <c r="BP9" i="1"/>
  <c r="BO9" i="1"/>
  <c r="BN9" i="1"/>
  <c r="BM9" i="1"/>
  <c r="BL9" i="1"/>
  <c r="BK9" i="1"/>
  <c r="BJ9" i="1"/>
  <c r="BI9" i="1"/>
  <c r="BH9" i="1"/>
  <c r="BG9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D9" i="1" s="1"/>
  <c r="C9" i="1" s="1"/>
  <c r="S9" i="1"/>
  <c r="R9" i="1"/>
  <c r="Q9" i="1"/>
  <c r="P9" i="1"/>
  <c r="O9" i="1"/>
  <c r="N9" i="1"/>
  <c r="M9" i="1"/>
  <c r="L9" i="1"/>
  <c r="K9" i="1"/>
  <c r="J9" i="1"/>
  <c r="I9" i="1"/>
  <c r="E9" i="1" s="1"/>
  <c r="H9" i="1"/>
  <c r="G9" i="1"/>
  <c r="F9" i="1"/>
  <c r="CS8" i="1"/>
  <c r="CR8" i="1"/>
  <c r="CQ8" i="1"/>
  <c r="CP8" i="1"/>
  <c r="CO8" i="1"/>
  <c r="CN8" i="1"/>
  <c r="CM8" i="1"/>
  <c r="CL8" i="1"/>
  <c r="CK8" i="1"/>
  <c r="CJ8" i="1"/>
  <c r="CI8" i="1"/>
  <c r="CH8" i="1"/>
  <c r="CG8" i="1"/>
  <c r="CF8" i="1"/>
  <c r="CE8" i="1"/>
  <c r="CD8" i="1"/>
  <c r="CC8" i="1"/>
  <c r="CB8" i="1"/>
  <c r="CA8" i="1"/>
  <c r="BZ8" i="1"/>
  <c r="BY8" i="1"/>
  <c r="BX8" i="1"/>
  <c r="BW8" i="1"/>
  <c r="BV8" i="1"/>
  <c r="BU8" i="1"/>
  <c r="BT8" i="1"/>
  <c r="BS8" i="1"/>
  <c r="BR8" i="1"/>
  <c r="BQ8" i="1"/>
  <c r="BP8" i="1"/>
  <c r="BO8" i="1"/>
  <c r="BN8" i="1"/>
  <c r="BM8" i="1"/>
  <c r="BL8" i="1"/>
  <c r="BK8" i="1"/>
  <c r="BJ8" i="1"/>
  <c r="BI8" i="1"/>
  <c r="BH8" i="1"/>
  <c r="BG8" i="1"/>
  <c r="BF8" i="1"/>
  <c r="BE8" i="1"/>
  <c r="BD8" i="1"/>
  <c r="BC8" i="1"/>
  <c r="BB8" i="1"/>
  <c r="BA8" i="1"/>
  <c r="AZ8" i="1"/>
  <c r="AY8" i="1"/>
  <c r="AX8" i="1"/>
  <c r="AW8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E8" i="1" s="1"/>
  <c r="H8" i="1"/>
  <c r="D8" i="1" s="1"/>
  <c r="G8" i="1"/>
  <c r="F8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BZ7" i="1"/>
  <c r="BY7" i="1"/>
  <c r="BX7" i="1"/>
  <c r="BW7" i="1"/>
  <c r="BV7" i="1"/>
  <c r="BU7" i="1"/>
  <c r="BT7" i="1"/>
  <c r="BS7" i="1"/>
  <c r="BR7" i="1"/>
  <c r="BQ7" i="1"/>
  <c r="BP7" i="1"/>
  <c r="BO7" i="1"/>
  <c r="BN7" i="1"/>
  <c r="BM7" i="1"/>
  <c r="BL7" i="1"/>
  <c r="BK7" i="1"/>
  <c r="BJ7" i="1"/>
  <c r="BI7" i="1"/>
  <c r="BH7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D7" i="1" s="1"/>
  <c r="G7" i="1"/>
  <c r="E7" i="1" s="1"/>
  <c r="F7" i="1"/>
  <c r="CS6" i="1"/>
  <c r="CR6" i="1"/>
  <c r="CQ6" i="1"/>
  <c r="CP6" i="1"/>
  <c r="CO6" i="1"/>
  <c r="CN6" i="1"/>
  <c r="CM6" i="1"/>
  <c r="CL6" i="1"/>
  <c r="CK6" i="1"/>
  <c r="CJ6" i="1"/>
  <c r="CI6" i="1"/>
  <c r="CH6" i="1"/>
  <c r="CG6" i="1"/>
  <c r="CF6" i="1"/>
  <c r="CE6" i="1"/>
  <c r="CD6" i="1"/>
  <c r="CC6" i="1"/>
  <c r="CB6" i="1"/>
  <c r="CA6" i="1"/>
  <c r="BZ6" i="1"/>
  <c r="BY6" i="1"/>
  <c r="BX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E6" i="1" s="1"/>
  <c r="F6" i="1"/>
  <c r="D6" i="1" s="1"/>
  <c r="C6" i="1" s="1"/>
  <c r="CS5" i="1"/>
  <c r="CR5" i="1"/>
  <c r="CQ5" i="1"/>
  <c r="CP5" i="1"/>
  <c r="CO5" i="1"/>
  <c r="CN5" i="1"/>
  <c r="CM5" i="1"/>
  <c r="CL5" i="1"/>
  <c r="CK5" i="1"/>
  <c r="CJ5" i="1"/>
  <c r="CI5" i="1"/>
  <c r="CH5" i="1"/>
  <c r="CG5" i="1"/>
  <c r="CF5" i="1"/>
  <c r="CE5" i="1"/>
  <c r="CD5" i="1"/>
  <c r="CC5" i="1"/>
  <c r="CB5" i="1"/>
  <c r="CA5" i="1"/>
  <c r="BZ5" i="1"/>
  <c r="BY5" i="1"/>
  <c r="BX5" i="1"/>
  <c r="BW5" i="1"/>
  <c r="BV5" i="1"/>
  <c r="BU5" i="1"/>
  <c r="BT5" i="1"/>
  <c r="BS5" i="1"/>
  <c r="BR5" i="1"/>
  <c r="BQ5" i="1"/>
  <c r="BP5" i="1"/>
  <c r="BO5" i="1"/>
  <c r="BN5" i="1"/>
  <c r="BM5" i="1"/>
  <c r="BL5" i="1"/>
  <c r="BK5" i="1"/>
  <c r="BJ5" i="1"/>
  <c r="BI5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E5" i="1" s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D5" i="1" s="1"/>
  <c r="CS4" i="1"/>
  <c r="CR4" i="1"/>
  <c r="CQ4" i="1"/>
  <c r="CP4" i="1"/>
  <c r="CO4" i="1"/>
  <c r="CN4" i="1"/>
  <c r="CM4" i="1"/>
  <c r="CL4" i="1"/>
  <c r="CK4" i="1"/>
  <c r="CJ4" i="1"/>
  <c r="CI4" i="1"/>
  <c r="CH4" i="1"/>
  <c r="CG4" i="1"/>
  <c r="CF4" i="1"/>
  <c r="CE4" i="1"/>
  <c r="CD4" i="1"/>
  <c r="CC4" i="1"/>
  <c r="CB4" i="1"/>
  <c r="CA4" i="1"/>
  <c r="BZ4" i="1"/>
  <c r="BY4" i="1"/>
  <c r="BX4" i="1"/>
  <c r="BW4" i="1"/>
  <c r="BV4" i="1"/>
  <c r="BU4" i="1"/>
  <c r="BT4" i="1"/>
  <c r="BS4" i="1"/>
  <c r="BR4" i="1"/>
  <c r="BQ4" i="1"/>
  <c r="BP4" i="1"/>
  <c r="BO4" i="1"/>
  <c r="BN4" i="1"/>
  <c r="BM4" i="1"/>
  <c r="BL4" i="1"/>
  <c r="BK4" i="1"/>
  <c r="BJ4" i="1"/>
  <c r="BI4" i="1"/>
  <c r="BH4" i="1"/>
  <c r="BG4" i="1"/>
  <c r="BF4" i="1"/>
  <c r="BE4" i="1"/>
  <c r="BD4" i="1"/>
  <c r="BC4" i="1"/>
  <c r="BB4" i="1"/>
  <c r="BA4" i="1"/>
  <c r="AZ4" i="1"/>
  <c r="AY4" i="1"/>
  <c r="AX4" i="1"/>
  <c r="AW4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D4" i="1" s="1"/>
  <c r="C4" i="1" s="1"/>
  <c r="S4" i="1"/>
  <c r="R4" i="1"/>
  <c r="Q4" i="1"/>
  <c r="P4" i="1"/>
  <c r="O4" i="1"/>
  <c r="E4" i="1" s="1"/>
  <c r="N4" i="1"/>
  <c r="M4" i="1"/>
  <c r="L4" i="1"/>
  <c r="K4" i="1"/>
  <c r="J4" i="1"/>
  <c r="I4" i="1"/>
  <c r="H4" i="1"/>
  <c r="G4" i="1"/>
  <c r="F4" i="1"/>
  <c r="CS3" i="1"/>
  <c r="CS47" i="1" s="1"/>
  <c r="CR3" i="1"/>
  <c r="CR47" i="1" s="1"/>
  <c r="CQ3" i="1"/>
  <c r="CQ47" i="1" s="1"/>
  <c r="CP3" i="1"/>
  <c r="CP47" i="1" s="1"/>
  <c r="CO3" i="1"/>
  <c r="CO47" i="1" s="1"/>
  <c r="CN3" i="1"/>
  <c r="CN47" i="1" s="1"/>
  <c r="CM3" i="1"/>
  <c r="CM47" i="1" s="1"/>
  <c r="CL3" i="1"/>
  <c r="CL47" i="1" s="1"/>
  <c r="CK3" i="1"/>
  <c r="CK47" i="1" s="1"/>
  <c r="CJ3" i="1"/>
  <c r="CJ47" i="1" s="1"/>
  <c r="CI3" i="1"/>
  <c r="CI47" i="1" s="1"/>
  <c r="CH3" i="1"/>
  <c r="CH47" i="1" s="1"/>
  <c r="CG3" i="1"/>
  <c r="CG47" i="1" s="1"/>
  <c r="CF3" i="1"/>
  <c r="CF47" i="1" s="1"/>
  <c r="CE3" i="1"/>
  <c r="CE47" i="1" s="1"/>
  <c r="CD3" i="1"/>
  <c r="CD47" i="1" s="1"/>
  <c r="CC3" i="1"/>
  <c r="CC47" i="1" s="1"/>
  <c r="CB3" i="1"/>
  <c r="CB47" i="1" s="1"/>
  <c r="CA3" i="1"/>
  <c r="CA47" i="1" s="1"/>
  <c r="BZ3" i="1"/>
  <c r="BZ47" i="1" s="1"/>
  <c r="BY3" i="1"/>
  <c r="BY47" i="1" s="1"/>
  <c r="BX3" i="1"/>
  <c r="BX47" i="1" s="1"/>
  <c r="BW3" i="1"/>
  <c r="BW47" i="1" s="1"/>
  <c r="BV3" i="1"/>
  <c r="BV47" i="1" s="1"/>
  <c r="BU3" i="1"/>
  <c r="BU47" i="1" s="1"/>
  <c r="BT3" i="1"/>
  <c r="BT47" i="1" s="1"/>
  <c r="BS3" i="1"/>
  <c r="BS47" i="1" s="1"/>
  <c r="BR3" i="1"/>
  <c r="BR47" i="1" s="1"/>
  <c r="BQ3" i="1"/>
  <c r="BQ47" i="1" s="1"/>
  <c r="BP3" i="1"/>
  <c r="BP47" i="1" s="1"/>
  <c r="BO3" i="1"/>
  <c r="BO47" i="1" s="1"/>
  <c r="BN3" i="1"/>
  <c r="BN47" i="1" s="1"/>
  <c r="BM3" i="1"/>
  <c r="BM47" i="1" s="1"/>
  <c r="BL3" i="1"/>
  <c r="BL47" i="1" s="1"/>
  <c r="BK3" i="1"/>
  <c r="BK47" i="1" s="1"/>
  <c r="BJ3" i="1"/>
  <c r="BJ47" i="1" s="1"/>
  <c r="BI3" i="1"/>
  <c r="BI47" i="1" s="1"/>
  <c r="BH3" i="1"/>
  <c r="BH47" i="1" s="1"/>
  <c r="BG3" i="1"/>
  <c r="BG47" i="1" s="1"/>
  <c r="BF3" i="1"/>
  <c r="BF47" i="1" s="1"/>
  <c r="BE3" i="1"/>
  <c r="BE47" i="1" s="1"/>
  <c r="BD3" i="1"/>
  <c r="BD47" i="1" s="1"/>
  <c r="BC3" i="1"/>
  <c r="BC47" i="1" s="1"/>
  <c r="BB3" i="1"/>
  <c r="BB47" i="1" s="1"/>
  <c r="BA3" i="1"/>
  <c r="BA47" i="1" s="1"/>
  <c r="AZ3" i="1"/>
  <c r="AZ47" i="1" s="1"/>
  <c r="AY3" i="1"/>
  <c r="AY47" i="1" s="1"/>
  <c r="AX3" i="1"/>
  <c r="AX47" i="1" s="1"/>
  <c r="AW3" i="1"/>
  <c r="AW47" i="1" s="1"/>
  <c r="AV3" i="1"/>
  <c r="AV47" i="1" s="1"/>
  <c r="AU3" i="1"/>
  <c r="AU47" i="1" s="1"/>
  <c r="AT3" i="1"/>
  <c r="AT47" i="1" s="1"/>
  <c r="AS3" i="1"/>
  <c r="AS47" i="1" s="1"/>
  <c r="AR3" i="1"/>
  <c r="AR47" i="1" s="1"/>
  <c r="AQ3" i="1"/>
  <c r="AQ47" i="1" s="1"/>
  <c r="AP3" i="1"/>
  <c r="AP47" i="1" s="1"/>
  <c r="AO3" i="1"/>
  <c r="AO47" i="1" s="1"/>
  <c r="AN3" i="1"/>
  <c r="AN47" i="1" s="1"/>
  <c r="AM3" i="1"/>
  <c r="AM47" i="1" s="1"/>
  <c r="AL3" i="1"/>
  <c r="AL47" i="1" s="1"/>
  <c r="AK3" i="1"/>
  <c r="AK47" i="1" s="1"/>
  <c r="AJ3" i="1"/>
  <c r="AJ47" i="1" s="1"/>
  <c r="AI3" i="1"/>
  <c r="AI47" i="1" s="1"/>
  <c r="AH3" i="1"/>
  <c r="AH47" i="1" s="1"/>
  <c r="AG3" i="1"/>
  <c r="AG47" i="1" s="1"/>
  <c r="AF3" i="1"/>
  <c r="AF47" i="1" s="1"/>
  <c r="AE3" i="1"/>
  <c r="AE47" i="1" s="1"/>
  <c r="AD3" i="1"/>
  <c r="AD47" i="1" s="1"/>
  <c r="AC3" i="1"/>
  <c r="AC47" i="1" s="1"/>
  <c r="AB3" i="1"/>
  <c r="AB47" i="1" s="1"/>
  <c r="AA3" i="1"/>
  <c r="AA47" i="1" s="1"/>
  <c r="Z3" i="1"/>
  <c r="Z47" i="1" s="1"/>
  <c r="Y3" i="1"/>
  <c r="Y47" i="1" s="1"/>
  <c r="X3" i="1"/>
  <c r="X47" i="1" s="1"/>
  <c r="W3" i="1"/>
  <c r="W47" i="1" s="1"/>
  <c r="V3" i="1"/>
  <c r="V47" i="1" s="1"/>
  <c r="U3" i="1"/>
  <c r="U47" i="1" s="1"/>
  <c r="T3" i="1"/>
  <c r="T47" i="1" s="1"/>
  <c r="S3" i="1"/>
  <c r="E3" i="1" s="1"/>
  <c r="R3" i="1"/>
  <c r="R47" i="1" s="1"/>
  <c r="Q3" i="1"/>
  <c r="Q47" i="1" s="1"/>
  <c r="P3" i="1"/>
  <c r="P47" i="1" s="1"/>
  <c r="O3" i="1"/>
  <c r="O47" i="1" s="1"/>
  <c r="N3" i="1"/>
  <c r="N47" i="1" s="1"/>
  <c r="M3" i="1"/>
  <c r="M47" i="1" s="1"/>
  <c r="L3" i="1"/>
  <c r="L47" i="1" s="1"/>
  <c r="K3" i="1"/>
  <c r="K47" i="1" s="1"/>
  <c r="J3" i="1"/>
  <c r="J47" i="1" s="1"/>
  <c r="I3" i="1"/>
  <c r="I47" i="1" s="1"/>
  <c r="H3" i="1"/>
  <c r="H47" i="1" s="1"/>
  <c r="G3" i="1"/>
  <c r="G47" i="1" s="1"/>
  <c r="F3" i="1"/>
  <c r="F47" i="1" s="1"/>
  <c r="C5" i="1" l="1"/>
  <c r="C13" i="1"/>
  <c r="C38" i="1"/>
  <c r="C16" i="1"/>
  <c r="C8" i="1"/>
  <c r="C17" i="1"/>
  <c r="C20" i="1"/>
  <c r="C32" i="1"/>
  <c r="C45" i="1"/>
  <c r="D47" i="1"/>
  <c r="C15" i="1"/>
  <c r="C24" i="1"/>
  <c r="C36" i="1"/>
  <c r="C7" i="1"/>
  <c r="C40" i="1"/>
  <c r="C44" i="1"/>
  <c r="C10" i="1"/>
  <c r="S47" i="1"/>
  <c r="E47" i="1" s="1"/>
  <c r="D3" i="1"/>
  <c r="C3" i="1" s="1"/>
  <c r="C47" i="1" l="1"/>
</calcChain>
</file>

<file path=xl/sharedStrings.xml><?xml version="1.0" encoding="utf-8"?>
<sst xmlns="http://schemas.openxmlformats.org/spreadsheetml/2006/main" count="232" uniqueCount="140">
  <si>
    <t>Код</t>
  </si>
  <si>
    <t>Название типа</t>
  </si>
  <si>
    <t>Всего</t>
  </si>
  <si>
    <t>День</t>
  </si>
  <si>
    <t>Ночь</t>
  </si>
  <si>
    <t>ЦДН-1</t>
  </si>
  <si>
    <t>ЦДН-2</t>
  </si>
  <si>
    <t>ЦДН-3</t>
  </si>
  <si>
    <t>ЦППН</t>
  </si>
  <si>
    <t>ЦППД</t>
  </si>
  <si>
    <t>ЭЦ</t>
  </si>
  <si>
    <t>ОКС</t>
  </si>
  <si>
    <t>РСЦ</t>
  </si>
  <si>
    <t>ЦИТС</t>
  </si>
  <si>
    <t>ПРЦЭО</t>
  </si>
  <si>
    <t>ГЦ</t>
  </si>
  <si>
    <t>ЦПП</t>
  </si>
  <si>
    <t>БМТС</t>
  </si>
  <si>
    <t>УБиПКРС-1</t>
  </si>
  <si>
    <t>УБиПКРС-2</t>
  </si>
  <si>
    <t>ДТТ-1</t>
  </si>
  <si>
    <t>ЦНИПР</t>
  </si>
  <si>
    <t>ОБиПКРС</t>
  </si>
  <si>
    <t>ЦАП</t>
  </si>
  <si>
    <t>ГООС</t>
  </si>
  <si>
    <t>Ақкетік</t>
  </si>
  <si>
    <t>Нейрон</t>
  </si>
  <si>
    <t>Бурение</t>
  </si>
  <si>
    <t>ЦТВС</t>
  </si>
  <si>
    <t>ТБ</t>
  </si>
  <si>
    <t>ОТДН</t>
  </si>
  <si>
    <t>ПЧ-Семсер</t>
  </si>
  <si>
    <t>ПРЦЭО(2)</t>
  </si>
  <si>
    <t>БД</t>
  </si>
  <si>
    <t>ОГиР</t>
  </si>
  <si>
    <t>ГСРиВК</t>
  </si>
  <si>
    <t>МПГУ</t>
  </si>
  <si>
    <t>БПО 2</t>
  </si>
  <si>
    <t>ЛД</t>
  </si>
  <si>
    <t>Отделкадр</t>
  </si>
  <si>
    <t>ЦИТС.</t>
  </si>
  <si>
    <t>ОБО</t>
  </si>
  <si>
    <t>УЖЭО</t>
  </si>
  <si>
    <t>Мухтар/Хамит</t>
  </si>
  <si>
    <t>ОБО-    СБ</t>
  </si>
  <si>
    <t>РМУ 2</t>
  </si>
  <si>
    <t>ГАПиИТ</t>
  </si>
  <si>
    <t>ОМ</t>
  </si>
  <si>
    <t>оппоIR</t>
  </si>
  <si>
    <t>Маркшейдер</t>
  </si>
  <si>
    <t>ПСО</t>
  </si>
  <si>
    <t>34</t>
  </si>
  <si>
    <t>ППУА</t>
  </si>
  <si>
    <t>47</t>
  </si>
  <si>
    <t>Тракторный экскаватор</t>
  </si>
  <si>
    <t>49</t>
  </si>
  <si>
    <t>Вакуумная установка</t>
  </si>
  <si>
    <t>28</t>
  </si>
  <si>
    <t>Кран 16-20т</t>
  </si>
  <si>
    <t>22</t>
  </si>
  <si>
    <t>Седельный тягач</t>
  </si>
  <si>
    <t>27</t>
  </si>
  <si>
    <t>Манипулятор</t>
  </si>
  <si>
    <t>31</t>
  </si>
  <si>
    <t>ЦА-320</t>
  </si>
  <si>
    <t>35</t>
  </si>
  <si>
    <t>АЦН</t>
  </si>
  <si>
    <t>50</t>
  </si>
  <si>
    <t>Бульдозер</t>
  </si>
  <si>
    <t>13</t>
  </si>
  <si>
    <t>Toyota/Jac пикап</t>
  </si>
  <si>
    <t>13.1</t>
  </si>
  <si>
    <t>Toyota/Jac пикап самовождение</t>
  </si>
  <si>
    <t>12</t>
  </si>
  <si>
    <t>Toyota LC</t>
  </si>
  <si>
    <t>12.1</t>
  </si>
  <si>
    <t>Toyota LC самовождение</t>
  </si>
  <si>
    <t>20</t>
  </si>
  <si>
    <t>Автобус</t>
  </si>
  <si>
    <t>21</t>
  </si>
  <si>
    <t>Сварочные агрегаты</t>
  </si>
  <si>
    <t>53</t>
  </si>
  <si>
    <t>Фронт.погрузчик / Komatsu FD30T-17</t>
  </si>
  <si>
    <t>11</t>
  </si>
  <si>
    <t>Скорая</t>
  </si>
  <si>
    <t>44</t>
  </si>
  <si>
    <t>Анкерный Ямобур</t>
  </si>
  <si>
    <t>38</t>
  </si>
  <si>
    <t>АГП</t>
  </si>
  <si>
    <t>59</t>
  </si>
  <si>
    <t>Сваб (подъемник)</t>
  </si>
  <si>
    <t>16</t>
  </si>
  <si>
    <t>Бортовой 1,5т</t>
  </si>
  <si>
    <t>40</t>
  </si>
  <si>
    <t>Мусоровоз</t>
  </si>
  <si>
    <t>56</t>
  </si>
  <si>
    <t>Грейдер</t>
  </si>
  <si>
    <t>42</t>
  </si>
  <si>
    <t>Глубинная лебедка</t>
  </si>
  <si>
    <t>24</t>
  </si>
  <si>
    <t>Платформа с лебедкой</t>
  </si>
  <si>
    <t>51</t>
  </si>
  <si>
    <t>Ассенизатор</t>
  </si>
  <si>
    <t>37</t>
  </si>
  <si>
    <t>Бензовоз, масловоз</t>
  </si>
  <si>
    <t>10</t>
  </si>
  <si>
    <t>Пожарная машина</t>
  </si>
  <si>
    <t>46</t>
  </si>
  <si>
    <t>Экскаватор</t>
  </si>
  <si>
    <t>62</t>
  </si>
  <si>
    <t>АРОК</t>
  </si>
  <si>
    <t>23</t>
  </si>
  <si>
    <t>Седельный тягач с лебедкой</t>
  </si>
  <si>
    <t>35.1</t>
  </si>
  <si>
    <t>Сед.тягач с прицепом АЦН 30т</t>
  </si>
  <si>
    <t>52</t>
  </si>
  <si>
    <t>Трубоукладчик</t>
  </si>
  <si>
    <t>54</t>
  </si>
  <si>
    <t>Автопогрузчик 1,5т</t>
  </si>
  <si>
    <t>36</t>
  </si>
  <si>
    <t>Питьевая АЦН</t>
  </si>
  <si>
    <t>33</t>
  </si>
  <si>
    <t>Компрессор</t>
  </si>
  <si>
    <t>45</t>
  </si>
  <si>
    <t>Ямобур</t>
  </si>
  <si>
    <t>48</t>
  </si>
  <si>
    <t>Лаборатория</t>
  </si>
  <si>
    <t>18</t>
  </si>
  <si>
    <t>Камаз, Маз 6-10т</t>
  </si>
  <si>
    <t>32</t>
  </si>
  <si>
    <t>Самосвал</t>
  </si>
  <si>
    <t>60</t>
  </si>
  <si>
    <t>Каток</t>
  </si>
  <si>
    <t>57</t>
  </si>
  <si>
    <t>Трактор колесный</t>
  </si>
  <si>
    <t>55</t>
  </si>
  <si>
    <t>Погрузчик МКСМ-0,5т</t>
  </si>
  <si>
    <t>30</t>
  </si>
  <si>
    <t>Кран 50т</t>
  </si>
  <si>
    <t>ИТОГО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</si>
</sst>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\-0;;@"/>
  </numFmts>
  <fonts count="3" x14ac:knownFonts="1">
    <font>
      <sz val="11"/>
      <color theme="1"/>
      <name val="Calibri"/>
      <family val="2"/>
      <charset val="1"/>
    </font>
    <font>
      <b/>
      <sz val="9"/>
      <name val="Arial"/>
      <family val="2"/>
      <charset val="204"/>
    </font>
    <font>
      <sz val="9"/>
      <name val="Arial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00"/>
        <bgColor rgb="FFF2F2F2"/>
      </patternFill>
    </fill>
    <fill>
      <patternFill patternType="solid">
        <fgColor rgb="FFFFC000"/>
        <bgColor rgb="FFF2F2F2"/>
      </patternFill>
    </fill>
    <fill>
      <patternFill patternType="solid">
        <fgColor rgb="FFD9D9D9"/>
        <b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2F2F2"/>
        <bgColor rgb="FFFFFFCC"/>
      </patternFill>
    </fill>
    <fill>
      <patternFill patternType="solid">
        <fgColor rgb="FFFFC000"/>
        <bgColor rgb="FFFFFFCC"/>
      </patternFill>
    </fill>
  </fills>
  <borders count="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</borders>
  <cellStyleXfs count="1">
    <xf numFmtId="0" fontId="0" fillId="0" borderId="0"/>
  </cellStyleXfs>
  <cellXfs count="17">
    <xf numFmtId="0" fontId="0" fillId="0" borderId="0" xfId="0"/>
    <xf numFmtId="164" fontId="1" fillId="2" borderId="1" xfId="0" applyNumberFormat="1" applyFont="1" applyFill="1" applyBorder="1" applyAlignment="1">
      <alignment horizontal="center" vertical="center" wrapText="1"/>
    </xf>
    <xf numFmtId="164" fontId="1" fillId="3" borderId="2" xfId="0" applyNumberFormat="1" applyFont="1" applyFill="1" applyBorder="1" applyAlignment="1">
      <alignment horizontal="center" vertical="center" wrapText="1"/>
    </xf>
    <xf numFmtId="164" fontId="1" fillId="4" borderId="1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164" fontId="1" fillId="3" borderId="3" xfId="0" applyNumberFormat="1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164" fontId="1" fillId="4" borderId="1" xfId="0" applyNumberFormat="1" applyFont="1" applyFill="1" applyBorder="1" applyAlignment="1">
      <alignment horizontal="center" vertical="center" wrapText="1"/>
    </xf>
    <xf numFmtId="164" fontId="1" fillId="5" borderId="1" xfId="0" applyNumberFormat="1" applyFont="1" applyFill="1" applyBorder="1"/>
    <xf numFmtId="164" fontId="2" fillId="5" borderId="1" xfId="0" applyNumberFormat="1" applyFont="1" applyFill="1" applyBorder="1"/>
    <xf numFmtId="164" fontId="2" fillId="6" borderId="1" xfId="0" applyNumberFormat="1" applyFont="1" applyFill="1" applyBorder="1"/>
    <xf numFmtId="164" fontId="2" fillId="0" borderId="1" xfId="0" applyNumberFormat="1" applyFont="1" applyBorder="1"/>
    <xf numFmtId="164" fontId="1" fillId="6" borderId="1" xfId="0" applyNumberFormat="1" applyFont="1" applyFill="1" applyBorder="1"/>
    <xf numFmtId="164" fontId="1" fillId="0" borderId="1" xfId="0" applyNumberFormat="1" applyFont="1" applyBorder="1"/>
    <xf numFmtId="164" fontId="0" fillId="7" borderId="1" xfId="0" applyNumberFormat="1" applyFill="1" applyBorder="1"/>
    <xf numFmtId="164" fontId="1" fillId="7" borderId="1" xfId="0" applyNumberFormat="1" applyFont="1" applyFill="1" applyBorder="1"/>
    <xf numFmtId="164" fontId="1" fillId="8" borderId="1" xfId="0" applyNumberFormat="1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_Korkenbayev\AppData\Local\Microsoft\Windows\INetCache\Content.Outlook\2BHKA1R8\&#1042;&#1099;&#1093;&#1086;&#1076;%20&#1058;&#1057;%20&#1087;&#1080;&#1082;&#1072;&#1087;%20(002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Читай меня"/>
      <sheetName val="Типы техники"/>
      <sheetName val="Сводка отдел×тип"/>
      <sheetName val="Исходные данные"/>
      <sheetName val="Сводка по типам"/>
      <sheetName val="Не засчитано"/>
      <sheetName val="Спорные случаи"/>
    </sheetNames>
    <sheetDataSet>
      <sheetData sheetId="0"/>
      <sheetData sheetId="1"/>
      <sheetData sheetId="2"/>
      <sheetData sheetId="3">
        <row r="2">
          <cell r="D2" t="str">
            <v>Нейрон</v>
          </cell>
          <cell r="F2" t="str">
            <v>11</v>
          </cell>
          <cell r="I2">
            <v>1</v>
          </cell>
          <cell r="J2">
            <v>0</v>
          </cell>
        </row>
        <row r="3">
          <cell r="D3" t="str">
            <v>Нейрон</v>
          </cell>
          <cell r="F3" t="str">
            <v>11</v>
          </cell>
          <cell r="I3">
            <v>1</v>
          </cell>
          <cell r="J3">
            <v>0</v>
          </cell>
        </row>
        <row r="4">
          <cell r="D4" t="str">
            <v>Нейрон</v>
          </cell>
          <cell r="F4" t="str">
            <v>11</v>
          </cell>
          <cell r="I4">
            <v>1</v>
          </cell>
          <cell r="J4">
            <v>0</v>
          </cell>
        </row>
        <row r="5">
          <cell r="D5" t="str">
            <v>Нейрон</v>
          </cell>
          <cell r="F5" t="str">
            <v>11</v>
          </cell>
          <cell r="I5">
            <v>1</v>
          </cell>
          <cell r="J5">
            <v>0</v>
          </cell>
        </row>
        <row r="6">
          <cell r="D6" t="str">
            <v>Нейрон</v>
          </cell>
          <cell r="F6" t="str">
            <v>11</v>
          </cell>
          <cell r="I6">
            <v>0</v>
          </cell>
          <cell r="J6">
            <v>1</v>
          </cell>
        </row>
        <row r="7">
          <cell r="D7" t="str">
            <v>Нейрон</v>
          </cell>
          <cell r="F7" t="str">
            <v>11</v>
          </cell>
          <cell r="I7">
            <v>0</v>
          </cell>
          <cell r="J7">
            <v>1</v>
          </cell>
        </row>
        <row r="8">
          <cell r="D8" t="str">
            <v>Нейрон</v>
          </cell>
          <cell r="F8" t="str">
            <v>11</v>
          </cell>
          <cell r="I8">
            <v>0</v>
          </cell>
          <cell r="J8">
            <v>1</v>
          </cell>
        </row>
        <row r="9">
          <cell r="D9" t="str">
            <v>ПЧ-Семсер</v>
          </cell>
          <cell r="F9" t="str">
            <v>10</v>
          </cell>
          <cell r="I9">
            <v>0</v>
          </cell>
          <cell r="J9">
            <v>1</v>
          </cell>
        </row>
        <row r="10">
          <cell r="D10" t="str">
            <v>ПЧ-Семсер</v>
          </cell>
          <cell r="F10" t="str">
            <v>10</v>
          </cell>
          <cell r="I10">
            <v>0</v>
          </cell>
          <cell r="J10">
            <v>1</v>
          </cell>
        </row>
        <row r="11">
          <cell r="D11" t="str">
            <v>ПЧ-Семсер</v>
          </cell>
          <cell r="F11" t="str">
            <v>10</v>
          </cell>
          <cell r="I11">
            <v>0</v>
          </cell>
          <cell r="J11">
            <v>1</v>
          </cell>
        </row>
        <row r="12">
          <cell r="D12" t="str">
            <v>ПЧ-Семсер</v>
          </cell>
          <cell r="F12" t="str">
            <v>13</v>
          </cell>
          <cell r="I12">
            <v>1</v>
          </cell>
          <cell r="J12">
            <v>0</v>
          </cell>
        </row>
        <row r="13">
          <cell r="D13" t="str">
            <v>БД</v>
          </cell>
          <cell r="F13" t="str">
            <v>13.1</v>
          </cell>
          <cell r="I13">
            <v>1</v>
          </cell>
          <cell r="J13">
            <v>0</v>
          </cell>
        </row>
        <row r="14">
          <cell r="D14" t="str">
            <v>БД</v>
          </cell>
          <cell r="F14" t="str">
            <v>13.1</v>
          </cell>
          <cell r="I14">
            <v>1</v>
          </cell>
          <cell r="J14">
            <v>0</v>
          </cell>
        </row>
        <row r="15">
          <cell r="D15" t="str">
            <v>БД</v>
          </cell>
          <cell r="F15" t="str">
            <v>13.1</v>
          </cell>
          <cell r="I15">
            <v>1</v>
          </cell>
          <cell r="J15">
            <v>0</v>
          </cell>
        </row>
        <row r="16">
          <cell r="D16" t="str">
            <v>ТБ</v>
          </cell>
          <cell r="F16" t="str">
            <v>13.1</v>
          </cell>
          <cell r="I16">
            <v>1</v>
          </cell>
          <cell r="J16">
            <v>0</v>
          </cell>
        </row>
        <row r="17">
          <cell r="D17" t="str">
            <v>ТБ</v>
          </cell>
          <cell r="F17" t="str">
            <v>13.1</v>
          </cell>
          <cell r="I17">
            <v>1</v>
          </cell>
          <cell r="J17">
            <v>0</v>
          </cell>
        </row>
        <row r="18">
          <cell r="D18" t="str">
            <v>ТБ</v>
          </cell>
          <cell r="F18" t="str">
            <v>13</v>
          </cell>
          <cell r="I18">
            <v>1</v>
          </cell>
          <cell r="J18">
            <v>0</v>
          </cell>
        </row>
        <row r="19">
          <cell r="D19" t="str">
            <v>ТБ</v>
          </cell>
          <cell r="F19" t="str">
            <v>13</v>
          </cell>
          <cell r="I19">
            <v>1</v>
          </cell>
          <cell r="J19">
            <v>0</v>
          </cell>
        </row>
        <row r="20">
          <cell r="D20" t="str">
            <v>ТБ</v>
          </cell>
          <cell r="F20" t="str">
            <v>13</v>
          </cell>
          <cell r="I20">
            <v>1</v>
          </cell>
          <cell r="J20">
            <v>0</v>
          </cell>
        </row>
        <row r="21">
          <cell r="D21" t="str">
            <v>ТБ</v>
          </cell>
          <cell r="F21" t="str">
            <v>13</v>
          </cell>
          <cell r="I21">
            <v>1</v>
          </cell>
          <cell r="J21">
            <v>0</v>
          </cell>
        </row>
        <row r="22">
          <cell r="D22" t="str">
            <v>ГООС</v>
          </cell>
          <cell r="F22" t="str">
            <v>13</v>
          </cell>
          <cell r="I22">
            <v>1</v>
          </cell>
          <cell r="J22">
            <v>0</v>
          </cell>
        </row>
        <row r="23">
          <cell r="D23" t="str">
            <v>ГООС</v>
          </cell>
          <cell r="F23" t="str">
            <v>53</v>
          </cell>
          <cell r="I23">
            <v>1</v>
          </cell>
          <cell r="J23">
            <v>0</v>
          </cell>
        </row>
        <row r="24">
          <cell r="D24" t="str">
            <v>ГООС</v>
          </cell>
          <cell r="F24" t="str">
            <v>46</v>
          </cell>
          <cell r="I24">
            <v>1</v>
          </cell>
          <cell r="J24">
            <v>0</v>
          </cell>
        </row>
        <row r="25">
          <cell r="D25" t="str">
            <v>ГООС</v>
          </cell>
          <cell r="F25" t="str">
            <v>13</v>
          </cell>
          <cell r="I25">
            <v>1</v>
          </cell>
          <cell r="J25">
            <v>0</v>
          </cell>
        </row>
        <row r="26">
          <cell r="D26" t="str">
            <v>ГООС</v>
          </cell>
          <cell r="F26" t="str">
            <v>40</v>
          </cell>
          <cell r="I26">
            <v>1</v>
          </cell>
          <cell r="J26">
            <v>0</v>
          </cell>
        </row>
        <row r="27">
          <cell r="D27" t="str">
            <v>ГООС</v>
          </cell>
          <cell r="F27" t="str">
            <v>40</v>
          </cell>
          <cell r="I27">
            <v>1</v>
          </cell>
          <cell r="J27">
            <v>0</v>
          </cell>
        </row>
        <row r="28">
          <cell r="D28" t="str">
            <v>ГООС</v>
          </cell>
          <cell r="F28" t="str">
            <v>40</v>
          </cell>
          <cell r="I28">
            <v>1</v>
          </cell>
          <cell r="J28">
            <v>0</v>
          </cell>
        </row>
        <row r="29">
          <cell r="D29" t="str">
            <v>ГООС</v>
          </cell>
          <cell r="F29" t="str">
            <v>40</v>
          </cell>
          <cell r="I29">
            <v>1</v>
          </cell>
          <cell r="J29">
            <v>0</v>
          </cell>
        </row>
        <row r="30">
          <cell r="D30" t="str">
            <v>ЦДН-1</v>
          </cell>
          <cell r="F30" t="str">
            <v>13.1</v>
          </cell>
          <cell r="I30">
            <v>1</v>
          </cell>
          <cell r="J30">
            <v>0</v>
          </cell>
        </row>
        <row r="31">
          <cell r="D31" t="str">
            <v>ЦДН-1</v>
          </cell>
          <cell r="F31" t="str">
            <v>13.1</v>
          </cell>
          <cell r="I31">
            <v>1</v>
          </cell>
          <cell r="J31">
            <v>0</v>
          </cell>
        </row>
        <row r="32">
          <cell r="D32" t="str">
            <v>ЦДН-1</v>
          </cell>
          <cell r="F32" t="str">
            <v>13</v>
          </cell>
          <cell r="I32">
            <v>1</v>
          </cell>
          <cell r="J32">
            <v>0</v>
          </cell>
        </row>
        <row r="33">
          <cell r="D33" t="str">
            <v>ЦДН-1</v>
          </cell>
          <cell r="F33" t="str">
            <v>13.1</v>
          </cell>
          <cell r="I33">
            <v>1</v>
          </cell>
          <cell r="J33">
            <v>0</v>
          </cell>
        </row>
        <row r="34">
          <cell r="D34" t="str">
            <v>ЦДН-1</v>
          </cell>
          <cell r="F34" t="str">
            <v>13.1</v>
          </cell>
          <cell r="I34">
            <v>1</v>
          </cell>
          <cell r="J34">
            <v>0</v>
          </cell>
        </row>
        <row r="35">
          <cell r="D35" t="str">
            <v>ЦДН-1</v>
          </cell>
          <cell r="F35" t="str">
            <v>13.1</v>
          </cell>
          <cell r="I35">
            <v>1</v>
          </cell>
          <cell r="J35">
            <v>0</v>
          </cell>
        </row>
        <row r="36">
          <cell r="D36" t="str">
            <v>ЦДН-1</v>
          </cell>
          <cell r="F36" t="str">
            <v>13.1</v>
          </cell>
          <cell r="I36">
            <v>1</v>
          </cell>
          <cell r="J36">
            <v>0</v>
          </cell>
        </row>
        <row r="37">
          <cell r="D37" t="str">
            <v>ЦДН-1</v>
          </cell>
          <cell r="F37" t="str">
            <v>13.1</v>
          </cell>
          <cell r="I37">
            <v>1</v>
          </cell>
          <cell r="J37">
            <v>0</v>
          </cell>
        </row>
        <row r="38">
          <cell r="D38" t="str">
            <v>ЦДН-1</v>
          </cell>
          <cell r="F38" t="str">
            <v>13.1</v>
          </cell>
          <cell r="I38">
            <v>1</v>
          </cell>
          <cell r="J38">
            <v>0</v>
          </cell>
        </row>
        <row r="39">
          <cell r="D39" t="str">
            <v>ЦДН-1</v>
          </cell>
          <cell r="F39" t="str">
            <v>13.1</v>
          </cell>
          <cell r="I39">
            <v>1</v>
          </cell>
          <cell r="J39">
            <v>0</v>
          </cell>
        </row>
        <row r="40">
          <cell r="D40" t="str">
            <v>ЦДН-1</v>
          </cell>
          <cell r="F40" t="str">
            <v>13.1</v>
          </cell>
          <cell r="I40">
            <v>0</v>
          </cell>
          <cell r="J40">
            <v>1</v>
          </cell>
        </row>
        <row r="41">
          <cell r="D41" t="str">
            <v>ЦДН-1</v>
          </cell>
          <cell r="F41" t="str">
            <v>13</v>
          </cell>
          <cell r="I41">
            <v>0</v>
          </cell>
          <cell r="J41">
            <v>1</v>
          </cell>
        </row>
        <row r="42">
          <cell r="D42" t="str">
            <v>ЦДН-1</v>
          </cell>
          <cell r="F42" t="str">
            <v>20</v>
          </cell>
          <cell r="I42">
            <v>1</v>
          </cell>
          <cell r="J42">
            <v>0</v>
          </cell>
        </row>
        <row r="43">
          <cell r="D43" t="str">
            <v>ЦДН-1</v>
          </cell>
          <cell r="F43" t="str">
            <v>20</v>
          </cell>
          <cell r="I43">
            <v>1</v>
          </cell>
          <cell r="J43">
            <v>0</v>
          </cell>
        </row>
        <row r="44">
          <cell r="D44" t="str">
            <v>ЦДН-1</v>
          </cell>
          <cell r="F44" t="str">
            <v>22</v>
          </cell>
          <cell r="I44">
            <v>1</v>
          </cell>
          <cell r="J44">
            <v>0</v>
          </cell>
        </row>
        <row r="45">
          <cell r="D45" t="str">
            <v>ЦДН-1</v>
          </cell>
          <cell r="F45" t="str">
            <v>28</v>
          </cell>
          <cell r="I45">
            <v>1</v>
          </cell>
          <cell r="J45">
            <v>0</v>
          </cell>
        </row>
        <row r="46">
          <cell r="D46" t="str">
            <v>ЦДН-1</v>
          </cell>
          <cell r="F46" t="str">
            <v>31</v>
          </cell>
          <cell r="I46">
            <v>1</v>
          </cell>
          <cell r="J46">
            <v>0</v>
          </cell>
        </row>
        <row r="47">
          <cell r="D47" t="str">
            <v>ЦДН-1</v>
          </cell>
          <cell r="F47" t="str">
            <v>31</v>
          </cell>
          <cell r="I47">
            <v>0</v>
          </cell>
          <cell r="J47">
            <v>1</v>
          </cell>
        </row>
        <row r="48">
          <cell r="D48" t="str">
            <v>ЦДН-1</v>
          </cell>
          <cell r="F48" t="str">
            <v>27</v>
          </cell>
          <cell r="I48">
            <v>1</v>
          </cell>
          <cell r="J48">
            <v>0</v>
          </cell>
        </row>
        <row r="49">
          <cell r="D49" t="str">
            <v>ЦДН-1</v>
          </cell>
          <cell r="F49" t="str">
            <v>33</v>
          </cell>
          <cell r="I49">
            <v>1</v>
          </cell>
          <cell r="J49">
            <v>0</v>
          </cell>
        </row>
        <row r="50">
          <cell r="D50" t="str">
            <v>ЦДН-1</v>
          </cell>
          <cell r="F50" t="str">
            <v>34</v>
          </cell>
          <cell r="I50">
            <v>1</v>
          </cell>
          <cell r="J50">
            <v>0</v>
          </cell>
        </row>
        <row r="51">
          <cell r="D51" t="str">
            <v>ЦДН-1</v>
          </cell>
          <cell r="F51" t="str">
            <v>34</v>
          </cell>
          <cell r="I51">
            <v>1</v>
          </cell>
          <cell r="J51">
            <v>0</v>
          </cell>
        </row>
        <row r="52">
          <cell r="D52" t="str">
            <v>ЦДН-1</v>
          </cell>
          <cell r="F52" t="str">
            <v>35.1</v>
          </cell>
          <cell r="I52">
            <v>1</v>
          </cell>
          <cell r="J52">
            <v>0</v>
          </cell>
        </row>
        <row r="53">
          <cell r="D53" t="str">
            <v>ЦДН-1</v>
          </cell>
          <cell r="F53" t="str">
            <v>35</v>
          </cell>
          <cell r="I53">
            <v>1</v>
          </cell>
          <cell r="J53">
            <v>0</v>
          </cell>
        </row>
        <row r="54">
          <cell r="D54" t="str">
            <v>ЦДН-1</v>
          </cell>
          <cell r="F54" t="str">
            <v>35</v>
          </cell>
          <cell r="I54">
            <v>1</v>
          </cell>
          <cell r="J54">
            <v>0</v>
          </cell>
        </row>
        <row r="55">
          <cell r="D55" t="str">
            <v>ЦДН-1</v>
          </cell>
          <cell r="F55" t="str">
            <v>35</v>
          </cell>
          <cell r="I55">
            <v>0</v>
          </cell>
          <cell r="J55">
            <v>1</v>
          </cell>
        </row>
        <row r="56">
          <cell r="D56" t="str">
            <v>ЦДН-1</v>
          </cell>
          <cell r="F56" t="str">
            <v>35</v>
          </cell>
          <cell r="I56">
            <v>0</v>
          </cell>
          <cell r="J56">
            <v>1</v>
          </cell>
        </row>
        <row r="57">
          <cell r="D57" t="str">
            <v>ЦДН-1</v>
          </cell>
          <cell r="F57" t="str">
            <v>38</v>
          </cell>
          <cell r="I57">
            <v>0</v>
          </cell>
          <cell r="J57">
            <v>1</v>
          </cell>
        </row>
        <row r="58">
          <cell r="D58" t="str">
            <v>ЦДН-1</v>
          </cell>
          <cell r="F58" t="str">
            <v>47</v>
          </cell>
          <cell r="I58">
            <v>1</v>
          </cell>
          <cell r="J58">
            <v>0</v>
          </cell>
        </row>
        <row r="59">
          <cell r="D59" t="str">
            <v>ЦДН-1</v>
          </cell>
          <cell r="F59" t="str">
            <v>49</v>
          </cell>
          <cell r="I59">
            <v>1</v>
          </cell>
          <cell r="J59">
            <v>0</v>
          </cell>
        </row>
        <row r="60">
          <cell r="D60" t="str">
            <v>ЦДН-1</v>
          </cell>
          <cell r="F60" t="str">
            <v>49</v>
          </cell>
          <cell r="I60">
            <v>1</v>
          </cell>
          <cell r="J60">
            <v>0</v>
          </cell>
        </row>
        <row r="61">
          <cell r="D61" t="str">
            <v>ЦДН-1</v>
          </cell>
          <cell r="F61" t="str">
            <v>49</v>
          </cell>
          <cell r="I61">
            <v>0</v>
          </cell>
          <cell r="J61">
            <v>1</v>
          </cell>
        </row>
        <row r="62">
          <cell r="D62" t="str">
            <v>ЦДН-1</v>
          </cell>
          <cell r="F62" t="str">
            <v>49</v>
          </cell>
          <cell r="I62">
            <v>0</v>
          </cell>
          <cell r="J62">
            <v>1</v>
          </cell>
        </row>
        <row r="63">
          <cell r="D63" t="str">
            <v>ЦДН-1</v>
          </cell>
          <cell r="F63" t="str">
            <v>50</v>
          </cell>
          <cell r="I63">
            <v>1</v>
          </cell>
          <cell r="J63">
            <v>0</v>
          </cell>
        </row>
        <row r="64">
          <cell r="D64" t="str">
            <v>Ақкетік</v>
          </cell>
          <cell r="F64" t="str">
            <v>50</v>
          </cell>
          <cell r="I64">
            <v>1</v>
          </cell>
          <cell r="J64">
            <v>0</v>
          </cell>
        </row>
        <row r="65">
          <cell r="D65" t="str">
            <v>Ақкетік</v>
          </cell>
          <cell r="F65" t="str">
            <v>56</v>
          </cell>
          <cell r="I65">
            <v>1</v>
          </cell>
          <cell r="J65">
            <v>0</v>
          </cell>
        </row>
        <row r="66">
          <cell r="D66" t="str">
            <v>Ақкетік</v>
          </cell>
          <cell r="F66" t="str">
            <v>53</v>
          </cell>
          <cell r="I66">
            <v>1</v>
          </cell>
          <cell r="J66">
            <v>0</v>
          </cell>
        </row>
        <row r="67">
          <cell r="D67" t="str">
            <v>Ақкетік</v>
          </cell>
          <cell r="F67" t="str">
            <v>22</v>
          </cell>
          <cell r="I67">
            <v>1</v>
          </cell>
          <cell r="J67">
            <v>0</v>
          </cell>
        </row>
        <row r="68">
          <cell r="D68" t="str">
            <v>Ақкетік</v>
          </cell>
          <cell r="F68" t="str">
            <v>22</v>
          </cell>
          <cell r="I68">
            <v>1</v>
          </cell>
          <cell r="J68">
            <v>0</v>
          </cell>
        </row>
        <row r="69">
          <cell r="D69" t="str">
            <v>Ақкетік</v>
          </cell>
          <cell r="F69" t="str">
            <v>45</v>
          </cell>
          <cell r="I69">
            <v>1</v>
          </cell>
          <cell r="J69">
            <v>0</v>
          </cell>
        </row>
        <row r="70">
          <cell r="D70" t="str">
            <v>Ақкетік</v>
          </cell>
          <cell r="F70" t="str">
            <v>28</v>
          </cell>
          <cell r="I70">
            <v>1</v>
          </cell>
          <cell r="J70">
            <v>0</v>
          </cell>
        </row>
        <row r="71">
          <cell r="D71" t="str">
            <v>Ақкетік</v>
          </cell>
          <cell r="F71" t="str">
            <v>38</v>
          </cell>
          <cell r="I71">
            <v>1</v>
          </cell>
          <cell r="J71">
            <v>0</v>
          </cell>
        </row>
        <row r="72">
          <cell r="D72" t="str">
            <v>ЦДН-1</v>
          </cell>
          <cell r="F72" t="str">
            <v>13</v>
          </cell>
          <cell r="I72">
            <v>0</v>
          </cell>
          <cell r="J72">
            <v>1</v>
          </cell>
        </row>
        <row r="73">
          <cell r="D73" t="str">
            <v>ЦДН-1</v>
          </cell>
          <cell r="F73" t="str">
            <v>13</v>
          </cell>
          <cell r="I73">
            <v>1</v>
          </cell>
          <cell r="J73">
            <v>0</v>
          </cell>
        </row>
        <row r="74">
          <cell r="D74" t="str">
            <v>ЦДН-1</v>
          </cell>
          <cell r="F74" t="str">
            <v>13</v>
          </cell>
          <cell r="I74">
            <v>1</v>
          </cell>
          <cell r="J74">
            <v>0</v>
          </cell>
        </row>
        <row r="75">
          <cell r="D75" t="str">
            <v>ЦДН-1</v>
          </cell>
          <cell r="F75" t="str">
            <v>31</v>
          </cell>
          <cell r="I75">
            <v>1</v>
          </cell>
          <cell r="J75">
            <v>0</v>
          </cell>
        </row>
        <row r="76">
          <cell r="D76" t="str">
            <v>ЦДН-1</v>
          </cell>
          <cell r="F76" t="str">
            <v>35</v>
          </cell>
          <cell r="I76">
            <v>1</v>
          </cell>
          <cell r="J76">
            <v>0</v>
          </cell>
        </row>
        <row r="77">
          <cell r="D77" t="str">
            <v>ЦДН-1</v>
          </cell>
          <cell r="F77" t="str">
            <v>35</v>
          </cell>
          <cell r="I77">
            <v>1</v>
          </cell>
          <cell r="J77">
            <v>0</v>
          </cell>
        </row>
        <row r="78">
          <cell r="D78" t="str">
            <v>ЦДН-1</v>
          </cell>
          <cell r="F78" t="str">
            <v>34</v>
          </cell>
          <cell r="I78">
            <v>1</v>
          </cell>
          <cell r="J78">
            <v>0</v>
          </cell>
        </row>
        <row r="79">
          <cell r="D79" t="str">
            <v>ЦДН-1</v>
          </cell>
          <cell r="F79" t="str">
            <v>13</v>
          </cell>
          <cell r="I79">
            <v>0</v>
          </cell>
          <cell r="J79">
            <v>1</v>
          </cell>
        </row>
        <row r="80">
          <cell r="D80" t="str">
            <v>ЦДН-1</v>
          </cell>
          <cell r="F80" t="str">
            <v>13</v>
          </cell>
          <cell r="I80">
            <v>1</v>
          </cell>
          <cell r="J80">
            <v>1</v>
          </cell>
        </row>
        <row r="81">
          <cell r="D81" t="str">
            <v>ЦДН-1</v>
          </cell>
          <cell r="F81" t="str">
            <v>13</v>
          </cell>
          <cell r="I81">
            <v>1</v>
          </cell>
          <cell r="J81">
            <v>1</v>
          </cell>
        </row>
        <row r="82">
          <cell r="D82" t="str">
            <v>ЦДН-1</v>
          </cell>
          <cell r="F82" t="str">
            <v>13</v>
          </cell>
          <cell r="I82">
            <v>1</v>
          </cell>
          <cell r="J82">
            <v>0</v>
          </cell>
        </row>
        <row r="83">
          <cell r="D83" t="str">
            <v>ЦДН-1</v>
          </cell>
          <cell r="F83" t="str">
            <v>13</v>
          </cell>
          <cell r="I83">
            <v>1</v>
          </cell>
          <cell r="J83">
            <v>0</v>
          </cell>
        </row>
        <row r="84">
          <cell r="D84" t="str">
            <v>ЦДН-1</v>
          </cell>
          <cell r="F84" t="str">
            <v>13</v>
          </cell>
          <cell r="I84">
            <v>1</v>
          </cell>
          <cell r="J84">
            <v>0</v>
          </cell>
        </row>
        <row r="85">
          <cell r="D85" t="str">
            <v>ЦДН-1</v>
          </cell>
          <cell r="F85" t="str">
            <v>13</v>
          </cell>
          <cell r="I85">
            <v>0</v>
          </cell>
          <cell r="J85">
            <v>1</v>
          </cell>
        </row>
        <row r="86">
          <cell r="D86" t="str">
            <v>ЦДН-1</v>
          </cell>
          <cell r="F86" t="str">
            <v>13</v>
          </cell>
          <cell r="I86">
            <v>1</v>
          </cell>
          <cell r="J86">
            <v>0</v>
          </cell>
        </row>
        <row r="87">
          <cell r="D87" t="str">
            <v>ЦДН-1</v>
          </cell>
          <cell r="F87" t="str">
            <v>13</v>
          </cell>
          <cell r="I87">
            <v>1</v>
          </cell>
          <cell r="J87">
            <v>0</v>
          </cell>
        </row>
        <row r="88">
          <cell r="D88" t="str">
            <v>ЦДН-1</v>
          </cell>
          <cell r="F88" t="str">
            <v>13</v>
          </cell>
          <cell r="I88">
            <v>1</v>
          </cell>
          <cell r="J88">
            <v>0</v>
          </cell>
        </row>
        <row r="89">
          <cell r="D89" t="str">
            <v>ЦДН-1</v>
          </cell>
          <cell r="F89" t="str">
            <v>13</v>
          </cell>
          <cell r="I89">
            <v>1</v>
          </cell>
          <cell r="J89">
            <v>0</v>
          </cell>
        </row>
        <row r="90">
          <cell r="D90" t="str">
            <v>ЦДН-1</v>
          </cell>
          <cell r="F90" t="str">
            <v>20</v>
          </cell>
          <cell r="I90">
            <v>1</v>
          </cell>
          <cell r="J90">
            <v>0</v>
          </cell>
        </row>
        <row r="91">
          <cell r="D91" t="str">
            <v>ЦДН-2</v>
          </cell>
          <cell r="F91" t="str">
            <v>13.1</v>
          </cell>
          <cell r="I91">
            <v>1</v>
          </cell>
          <cell r="J91">
            <v>0</v>
          </cell>
        </row>
        <row r="92">
          <cell r="D92" t="str">
            <v>ЦДН-2</v>
          </cell>
          <cell r="F92" t="str">
            <v>13.1</v>
          </cell>
          <cell r="I92">
            <v>1</v>
          </cell>
          <cell r="J92">
            <v>0</v>
          </cell>
        </row>
        <row r="93">
          <cell r="D93" t="str">
            <v>ЦДН-2</v>
          </cell>
          <cell r="F93" t="str">
            <v>13.1</v>
          </cell>
          <cell r="I93">
            <v>1</v>
          </cell>
          <cell r="J93">
            <v>0</v>
          </cell>
        </row>
        <row r="94">
          <cell r="D94" t="str">
            <v>ЦДН-2</v>
          </cell>
          <cell r="F94" t="str">
            <v>13.1</v>
          </cell>
          <cell r="I94">
            <v>1</v>
          </cell>
          <cell r="J94">
            <v>0</v>
          </cell>
        </row>
        <row r="95">
          <cell r="D95" t="str">
            <v>ЦДН-2</v>
          </cell>
          <cell r="F95" t="str">
            <v>13.1</v>
          </cell>
          <cell r="I95">
            <v>1</v>
          </cell>
          <cell r="J95">
            <v>0</v>
          </cell>
        </row>
        <row r="96">
          <cell r="D96" t="str">
            <v>ЦДН-2</v>
          </cell>
          <cell r="F96" t="str">
            <v>13.1</v>
          </cell>
          <cell r="I96">
            <v>1</v>
          </cell>
          <cell r="J96">
            <v>0</v>
          </cell>
        </row>
        <row r="97">
          <cell r="D97" t="str">
            <v>ЦДН-2</v>
          </cell>
          <cell r="F97" t="str">
            <v>13.1</v>
          </cell>
          <cell r="I97">
            <v>1</v>
          </cell>
          <cell r="J97">
            <v>0</v>
          </cell>
        </row>
        <row r="98">
          <cell r="D98" t="str">
            <v>ЦДН-2</v>
          </cell>
          <cell r="F98" t="str">
            <v>13</v>
          </cell>
          <cell r="I98">
            <v>0</v>
          </cell>
          <cell r="J98">
            <v>1</v>
          </cell>
        </row>
        <row r="99">
          <cell r="D99" t="str">
            <v>ЦДН-2</v>
          </cell>
          <cell r="F99" t="str">
            <v>22</v>
          </cell>
          <cell r="I99">
            <v>1</v>
          </cell>
          <cell r="J99">
            <v>0</v>
          </cell>
        </row>
        <row r="100">
          <cell r="D100" t="str">
            <v>ЦДН-2</v>
          </cell>
          <cell r="F100" t="str">
            <v>28</v>
          </cell>
          <cell r="I100">
            <v>1</v>
          </cell>
          <cell r="J100">
            <v>0</v>
          </cell>
        </row>
        <row r="101">
          <cell r="D101" t="str">
            <v>ЦДН-2</v>
          </cell>
          <cell r="F101" t="str">
            <v>31</v>
          </cell>
          <cell r="I101">
            <v>1</v>
          </cell>
          <cell r="J101">
            <v>0</v>
          </cell>
        </row>
        <row r="102">
          <cell r="D102" t="str">
            <v>ЦДН-2</v>
          </cell>
          <cell r="F102" t="str">
            <v>34</v>
          </cell>
          <cell r="I102">
            <v>1</v>
          </cell>
          <cell r="J102">
            <v>0</v>
          </cell>
        </row>
        <row r="103">
          <cell r="D103" t="str">
            <v>ЦДН-2</v>
          </cell>
          <cell r="F103" t="str">
            <v>34</v>
          </cell>
          <cell r="I103">
            <v>1</v>
          </cell>
          <cell r="J103">
            <v>0</v>
          </cell>
        </row>
        <row r="104">
          <cell r="D104" t="str">
            <v>ЦДН-2</v>
          </cell>
          <cell r="F104" t="str">
            <v>35</v>
          </cell>
          <cell r="I104">
            <v>1</v>
          </cell>
          <cell r="J104">
            <v>0</v>
          </cell>
        </row>
        <row r="105">
          <cell r="D105" t="str">
            <v>ЦДН-2</v>
          </cell>
          <cell r="F105" t="str">
            <v>49</v>
          </cell>
          <cell r="I105">
            <v>1</v>
          </cell>
          <cell r="J105">
            <v>0</v>
          </cell>
        </row>
        <row r="106">
          <cell r="D106" t="str">
            <v>ЦДН-2</v>
          </cell>
          <cell r="F106" t="str">
            <v>59</v>
          </cell>
          <cell r="I106">
            <v>1</v>
          </cell>
          <cell r="J106">
            <v>0</v>
          </cell>
        </row>
        <row r="107">
          <cell r="D107" t="str">
            <v>ЦДН-2</v>
          </cell>
          <cell r="F107" t="str">
            <v>59</v>
          </cell>
          <cell r="I107">
            <v>1</v>
          </cell>
          <cell r="J107">
            <v>0</v>
          </cell>
        </row>
        <row r="108">
          <cell r="D108" t="str">
            <v>ЦДН-2</v>
          </cell>
          <cell r="F108" t="str">
            <v>59</v>
          </cell>
          <cell r="I108">
            <v>1</v>
          </cell>
          <cell r="J108">
            <v>0</v>
          </cell>
        </row>
        <row r="109">
          <cell r="D109" t="str">
            <v>ЦДН-2</v>
          </cell>
          <cell r="F109" t="str">
            <v>59</v>
          </cell>
          <cell r="I109">
            <v>1</v>
          </cell>
          <cell r="J109">
            <v>0</v>
          </cell>
        </row>
        <row r="110">
          <cell r="D110" t="str">
            <v>ЦДН-2</v>
          </cell>
          <cell r="F110" t="str">
            <v>59</v>
          </cell>
          <cell r="I110">
            <v>1</v>
          </cell>
          <cell r="J110">
            <v>0</v>
          </cell>
        </row>
        <row r="111">
          <cell r="D111" t="str">
            <v>ЦДН-2</v>
          </cell>
          <cell r="F111" t="str">
            <v>47</v>
          </cell>
          <cell r="I111">
            <v>1</v>
          </cell>
          <cell r="J111">
            <v>0</v>
          </cell>
        </row>
        <row r="112">
          <cell r="D112" t="str">
            <v>ЦДН-2</v>
          </cell>
          <cell r="F112" t="str">
            <v>49</v>
          </cell>
          <cell r="I112">
            <v>1</v>
          </cell>
          <cell r="J112">
            <v>0</v>
          </cell>
        </row>
        <row r="113">
          <cell r="D113" t="str">
            <v>ЦДН-2</v>
          </cell>
          <cell r="F113" t="str">
            <v>13</v>
          </cell>
          <cell r="I113">
            <v>0</v>
          </cell>
          <cell r="J113">
            <v>1</v>
          </cell>
        </row>
        <row r="114">
          <cell r="D114" t="str">
            <v>ЦДН-2</v>
          </cell>
          <cell r="F114" t="str">
            <v>13</v>
          </cell>
          <cell r="I114">
            <v>0</v>
          </cell>
          <cell r="J114">
            <v>1</v>
          </cell>
        </row>
        <row r="115">
          <cell r="D115" t="str">
            <v>ЦДН-2</v>
          </cell>
          <cell r="F115" t="str">
            <v>13.1</v>
          </cell>
          <cell r="I115">
            <v>1</v>
          </cell>
          <cell r="J115">
            <v>0</v>
          </cell>
        </row>
        <row r="116">
          <cell r="D116" t="str">
            <v>ЦДН-2</v>
          </cell>
          <cell r="F116" t="str">
            <v>20</v>
          </cell>
          <cell r="I116">
            <v>1</v>
          </cell>
          <cell r="J116">
            <v>0</v>
          </cell>
        </row>
        <row r="117">
          <cell r="D117" t="str">
            <v>ЦДН-2</v>
          </cell>
          <cell r="F117" t="str">
            <v>27</v>
          </cell>
          <cell r="I117">
            <v>1</v>
          </cell>
          <cell r="J117">
            <v>0</v>
          </cell>
        </row>
        <row r="118">
          <cell r="D118" t="str">
            <v>ЦДН-2</v>
          </cell>
          <cell r="F118" t="str">
            <v>34</v>
          </cell>
          <cell r="I118">
            <v>1</v>
          </cell>
          <cell r="J118">
            <v>0</v>
          </cell>
        </row>
        <row r="119">
          <cell r="D119" t="str">
            <v>ЦДН-2</v>
          </cell>
          <cell r="F119" t="str">
            <v>13</v>
          </cell>
          <cell r="I119">
            <v>0</v>
          </cell>
          <cell r="J119">
            <v>1</v>
          </cell>
        </row>
        <row r="120">
          <cell r="D120" t="str">
            <v>ЦДН-2</v>
          </cell>
          <cell r="F120" t="str">
            <v>13</v>
          </cell>
          <cell r="I120">
            <v>0</v>
          </cell>
          <cell r="J120">
            <v>1</v>
          </cell>
        </row>
        <row r="121">
          <cell r="D121" t="str">
            <v>ЦДН-2</v>
          </cell>
          <cell r="F121" t="str">
            <v>13</v>
          </cell>
          <cell r="I121">
            <v>0</v>
          </cell>
          <cell r="J121">
            <v>1</v>
          </cell>
        </row>
        <row r="122">
          <cell r="D122" t="str">
            <v>ЦДН-2</v>
          </cell>
          <cell r="F122" t="str">
            <v>13</v>
          </cell>
          <cell r="I122">
            <v>1</v>
          </cell>
          <cell r="J122">
            <v>0</v>
          </cell>
        </row>
        <row r="123">
          <cell r="D123" t="str">
            <v>ЦДН-2</v>
          </cell>
          <cell r="F123" t="str">
            <v>13</v>
          </cell>
          <cell r="I123">
            <v>1</v>
          </cell>
          <cell r="J123">
            <v>0</v>
          </cell>
        </row>
        <row r="124">
          <cell r="D124" t="str">
            <v>ЦДН-2</v>
          </cell>
          <cell r="F124" t="str">
            <v>13</v>
          </cell>
          <cell r="I124">
            <v>1</v>
          </cell>
          <cell r="J124">
            <v>0</v>
          </cell>
        </row>
        <row r="125">
          <cell r="D125" t="str">
            <v>ЦДН-2</v>
          </cell>
          <cell r="F125" t="str">
            <v>13</v>
          </cell>
          <cell r="I125">
            <v>1</v>
          </cell>
          <cell r="J125">
            <v>0</v>
          </cell>
        </row>
        <row r="126">
          <cell r="D126" t="str">
            <v>ЦДН-2</v>
          </cell>
          <cell r="F126" t="str">
            <v>13</v>
          </cell>
          <cell r="I126">
            <v>1</v>
          </cell>
          <cell r="J126">
            <v>0</v>
          </cell>
        </row>
        <row r="127">
          <cell r="D127" t="str">
            <v>ЦДН-2</v>
          </cell>
          <cell r="F127" t="str">
            <v>13</v>
          </cell>
          <cell r="I127">
            <v>1</v>
          </cell>
          <cell r="J127">
            <v>0</v>
          </cell>
        </row>
        <row r="128">
          <cell r="D128" t="str">
            <v>ЦДН-2</v>
          </cell>
          <cell r="F128" t="str">
            <v>13</v>
          </cell>
          <cell r="I128">
            <v>1</v>
          </cell>
          <cell r="J128">
            <v>0</v>
          </cell>
        </row>
        <row r="129">
          <cell r="D129" t="str">
            <v>ЦДН-2</v>
          </cell>
          <cell r="F129" t="str">
            <v>13</v>
          </cell>
          <cell r="I129">
            <v>1</v>
          </cell>
          <cell r="J129">
            <v>0</v>
          </cell>
        </row>
        <row r="130">
          <cell r="D130" t="str">
            <v>ЦДН-2</v>
          </cell>
          <cell r="F130" t="str">
            <v>13</v>
          </cell>
          <cell r="I130">
            <v>1</v>
          </cell>
          <cell r="J130">
            <v>0</v>
          </cell>
        </row>
        <row r="131">
          <cell r="D131" t="str">
            <v>ЦДН-2</v>
          </cell>
          <cell r="F131" t="str">
            <v>20</v>
          </cell>
          <cell r="I131">
            <v>1</v>
          </cell>
          <cell r="J131">
            <v>0</v>
          </cell>
        </row>
        <row r="132">
          <cell r="D132" t="str">
            <v>ЦДН-2</v>
          </cell>
          <cell r="F132" t="str">
            <v>20</v>
          </cell>
          <cell r="I132">
            <v>1</v>
          </cell>
          <cell r="J132">
            <v>0</v>
          </cell>
        </row>
        <row r="133">
          <cell r="D133" t="str">
            <v>ЦДН-2</v>
          </cell>
          <cell r="F133" t="str">
            <v>20</v>
          </cell>
          <cell r="I133">
            <v>1</v>
          </cell>
          <cell r="J133">
            <v>0</v>
          </cell>
        </row>
        <row r="134">
          <cell r="D134" t="str">
            <v>ЦДН-3</v>
          </cell>
          <cell r="F134" t="str">
            <v>13.1</v>
          </cell>
          <cell r="I134">
            <v>1</v>
          </cell>
          <cell r="J134">
            <v>0</v>
          </cell>
        </row>
        <row r="135">
          <cell r="D135" t="str">
            <v>ЦДН-3</v>
          </cell>
          <cell r="F135" t="str">
            <v>13.1</v>
          </cell>
          <cell r="I135">
            <v>1</v>
          </cell>
          <cell r="J135">
            <v>0</v>
          </cell>
        </row>
        <row r="136">
          <cell r="D136" t="str">
            <v>ЦДН-3</v>
          </cell>
          <cell r="F136" t="str">
            <v>13.1</v>
          </cell>
          <cell r="I136">
            <v>1</v>
          </cell>
          <cell r="J136">
            <v>0</v>
          </cell>
        </row>
        <row r="137">
          <cell r="D137" t="str">
            <v>ЦДН-3</v>
          </cell>
          <cell r="F137" t="str">
            <v>13.1</v>
          </cell>
          <cell r="I137">
            <v>1</v>
          </cell>
          <cell r="J137">
            <v>0</v>
          </cell>
        </row>
        <row r="138">
          <cell r="D138" t="str">
            <v>ЦДН-3</v>
          </cell>
          <cell r="F138" t="str">
            <v>13.1</v>
          </cell>
          <cell r="I138">
            <v>1</v>
          </cell>
          <cell r="J138">
            <v>0</v>
          </cell>
        </row>
        <row r="139">
          <cell r="D139" t="str">
            <v>ЦДН-3</v>
          </cell>
          <cell r="F139" t="str">
            <v>13.1</v>
          </cell>
          <cell r="I139">
            <v>1</v>
          </cell>
          <cell r="J139">
            <v>0</v>
          </cell>
        </row>
        <row r="140">
          <cell r="D140" t="str">
            <v>ЦДН-3</v>
          </cell>
          <cell r="F140" t="str">
            <v>13.1</v>
          </cell>
          <cell r="I140">
            <v>1</v>
          </cell>
          <cell r="J140">
            <v>0</v>
          </cell>
        </row>
        <row r="141">
          <cell r="D141" t="str">
            <v>ЦДН-3</v>
          </cell>
          <cell r="F141" t="str">
            <v>13.1</v>
          </cell>
          <cell r="I141">
            <v>1</v>
          </cell>
          <cell r="J141">
            <v>0</v>
          </cell>
        </row>
        <row r="142">
          <cell r="D142" t="str">
            <v>ЦДН-3</v>
          </cell>
          <cell r="F142" t="str">
            <v>13.1</v>
          </cell>
          <cell r="I142">
            <v>1</v>
          </cell>
          <cell r="J142">
            <v>0</v>
          </cell>
        </row>
        <row r="143">
          <cell r="D143" t="str">
            <v>ЦДН-3</v>
          </cell>
          <cell r="F143" t="str">
            <v>13</v>
          </cell>
          <cell r="I143">
            <v>0</v>
          </cell>
          <cell r="J143">
            <v>1</v>
          </cell>
        </row>
        <row r="144">
          <cell r="D144" t="str">
            <v>ЦДН-3</v>
          </cell>
          <cell r="F144" t="str">
            <v>22</v>
          </cell>
          <cell r="I144">
            <v>1</v>
          </cell>
          <cell r="J144">
            <v>0</v>
          </cell>
        </row>
        <row r="145">
          <cell r="D145" t="str">
            <v>ЦДН-3</v>
          </cell>
          <cell r="F145" t="str">
            <v>27</v>
          </cell>
          <cell r="I145">
            <v>1</v>
          </cell>
          <cell r="J145">
            <v>0</v>
          </cell>
        </row>
        <row r="146">
          <cell r="D146" t="str">
            <v>ЦДН-3</v>
          </cell>
          <cell r="F146" t="str">
            <v>28</v>
          </cell>
          <cell r="I146">
            <v>1</v>
          </cell>
          <cell r="J146">
            <v>0</v>
          </cell>
        </row>
        <row r="147">
          <cell r="D147" t="str">
            <v>ЦДН-3</v>
          </cell>
          <cell r="F147" t="str">
            <v>28</v>
          </cell>
          <cell r="I147">
            <v>1</v>
          </cell>
          <cell r="J147">
            <v>0</v>
          </cell>
        </row>
        <row r="148">
          <cell r="D148" t="str">
            <v>ЦДН-3</v>
          </cell>
          <cell r="F148" t="str">
            <v>31</v>
          </cell>
          <cell r="I148">
            <v>1</v>
          </cell>
          <cell r="J148">
            <v>0</v>
          </cell>
        </row>
        <row r="149">
          <cell r="D149" t="str">
            <v>ЦДН-3</v>
          </cell>
          <cell r="F149" t="str">
            <v>31</v>
          </cell>
          <cell r="I149">
            <v>1</v>
          </cell>
          <cell r="J149">
            <v>0</v>
          </cell>
        </row>
        <row r="150">
          <cell r="D150" t="str">
            <v>ЦДН-3</v>
          </cell>
          <cell r="F150" t="str">
            <v>31</v>
          </cell>
          <cell r="I150">
            <v>1</v>
          </cell>
          <cell r="J150">
            <v>0</v>
          </cell>
        </row>
        <row r="151">
          <cell r="D151" t="str">
            <v>ЦДН-3</v>
          </cell>
          <cell r="F151" t="str">
            <v>31</v>
          </cell>
          <cell r="I151">
            <v>1</v>
          </cell>
          <cell r="J151">
            <v>0</v>
          </cell>
        </row>
        <row r="152">
          <cell r="D152" t="str">
            <v>ЦДН-3</v>
          </cell>
          <cell r="F152" t="str">
            <v>31</v>
          </cell>
          <cell r="I152">
            <v>1</v>
          </cell>
          <cell r="J152">
            <v>0</v>
          </cell>
        </row>
        <row r="153">
          <cell r="D153" t="str">
            <v>ЦДН-3</v>
          </cell>
          <cell r="F153" t="str">
            <v>31</v>
          </cell>
          <cell r="I153">
            <v>1</v>
          </cell>
          <cell r="J153">
            <v>0</v>
          </cell>
        </row>
        <row r="154">
          <cell r="D154" t="str">
            <v>ЦДН-3</v>
          </cell>
          <cell r="F154" t="str">
            <v>31</v>
          </cell>
          <cell r="I154">
            <v>1</v>
          </cell>
          <cell r="J154">
            <v>0</v>
          </cell>
        </row>
        <row r="155">
          <cell r="D155" t="str">
            <v>ЦДН-3</v>
          </cell>
          <cell r="F155" t="str">
            <v>31</v>
          </cell>
          <cell r="I155">
            <v>1</v>
          </cell>
          <cell r="J155">
            <v>0</v>
          </cell>
        </row>
        <row r="156">
          <cell r="D156" t="str">
            <v>ЦДН-3</v>
          </cell>
          <cell r="F156" t="str">
            <v>31</v>
          </cell>
          <cell r="I156">
            <v>1</v>
          </cell>
          <cell r="J156">
            <v>0</v>
          </cell>
        </row>
        <row r="157">
          <cell r="D157" t="str">
            <v>ЦДН-3</v>
          </cell>
          <cell r="F157" t="str">
            <v>31</v>
          </cell>
          <cell r="I157">
            <v>1</v>
          </cell>
          <cell r="J157">
            <v>0</v>
          </cell>
        </row>
        <row r="158">
          <cell r="D158" t="str">
            <v>ЦДН-3</v>
          </cell>
          <cell r="F158" t="str">
            <v>31</v>
          </cell>
          <cell r="I158">
            <v>1</v>
          </cell>
          <cell r="J158">
            <v>0</v>
          </cell>
        </row>
        <row r="159">
          <cell r="D159" t="str">
            <v>ЦДН-3</v>
          </cell>
          <cell r="F159" t="str">
            <v>31</v>
          </cell>
          <cell r="I159">
            <v>1</v>
          </cell>
          <cell r="J159">
            <v>0</v>
          </cell>
        </row>
        <row r="160">
          <cell r="D160" t="str">
            <v>ЦДН-3</v>
          </cell>
          <cell r="F160" t="str">
            <v>31</v>
          </cell>
          <cell r="I160">
            <v>0</v>
          </cell>
          <cell r="J160">
            <v>1</v>
          </cell>
        </row>
        <row r="161">
          <cell r="D161" t="str">
            <v>ЦДН-3</v>
          </cell>
          <cell r="F161" t="str">
            <v>31</v>
          </cell>
          <cell r="I161">
            <v>0</v>
          </cell>
          <cell r="J161">
            <v>1</v>
          </cell>
        </row>
        <row r="162">
          <cell r="D162" t="str">
            <v>ЦДН-3</v>
          </cell>
          <cell r="F162" t="str">
            <v>31</v>
          </cell>
          <cell r="I162">
            <v>0</v>
          </cell>
          <cell r="J162">
            <v>1</v>
          </cell>
        </row>
        <row r="163">
          <cell r="D163" t="str">
            <v>ЦДН-3</v>
          </cell>
          <cell r="F163" t="str">
            <v>34</v>
          </cell>
          <cell r="I163">
            <v>1</v>
          </cell>
          <cell r="J163">
            <v>0</v>
          </cell>
        </row>
        <row r="164">
          <cell r="D164" t="str">
            <v>ЦДН-3</v>
          </cell>
          <cell r="F164" t="str">
            <v>34</v>
          </cell>
          <cell r="I164">
            <v>1</v>
          </cell>
          <cell r="J164">
            <v>0</v>
          </cell>
        </row>
        <row r="165">
          <cell r="D165" t="str">
            <v>ЦДН-3</v>
          </cell>
          <cell r="F165" t="str">
            <v>34</v>
          </cell>
          <cell r="I165">
            <v>1</v>
          </cell>
          <cell r="J165">
            <v>1</v>
          </cell>
        </row>
        <row r="166">
          <cell r="D166" t="str">
            <v>ЦДН-3</v>
          </cell>
          <cell r="F166" t="str">
            <v>35</v>
          </cell>
          <cell r="I166">
            <v>1</v>
          </cell>
          <cell r="J166">
            <v>0</v>
          </cell>
        </row>
        <row r="167">
          <cell r="D167" t="str">
            <v>ЦДН-3</v>
          </cell>
          <cell r="F167" t="str">
            <v>35</v>
          </cell>
          <cell r="I167">
            <v>1</v>
          </cell>
          <cell r="J167">
            <v>0</v>
          </cell>
        </row>
        <row r="168">
          <cell r="D168" t="str">
            <v>ЦДН-3</v>
          </cell>
          <cell r="F168" t="str">
            <v>35</v>
          </cell>
          <cell r="I168">
            <v>1</v>
          </cell>
          <cell r="J168">
            <v>0</v>
          </cell>
        </row>
        <row r="169">
          <cell r="D169" t="str">
            <v>ЦДН-3</v>
          </cell>
          <cell r="F169" t="str">
            <v>35</v>
          </cell>
          <cell r="I169">
            <v>1</v>
          </cell>
          <cell r="J169">
            <v>0</v>
          </cell>
        </row>
        <row r="170">
          <cell r="D170" t="str">
            <v>ЦДН-3</v>
          </cell>
          <cell r="F170" t="str">
            <v>35</v>
          </cell>
          <cell r="I170">
            <v>1</v>
          </cell>
          <cell r="J170">
            <v>0</v>
          </cell>
        </row>
        <row r="171">
          <cell r="D171" t="str">
            <v>ЦДН-3</v>
          </cell>
          <cell r="F171" t="str">
            <v>35</v>
          </cell>
          <cell r="I171">
            <v>1</v>
          </cell>
          <cell r="J171">
            <v>0</v>
          </cell>
        </row>
        <row r="172">
          <cell r="D172" t="str">
            <v>ЦДН-3</v>
          </cell>
          <cell r="F172" t="str">
            <v>35</v>
          </cell>
          <cell r="I172">
            <v>1</v>
          </cell>
          <cell r="J172">
            <v>0</v>
          </cell>
        </row>
        <row r="173">
          <cell r="D173" t="str">
            <v>ЦДН-3</v>
          </cell>
          <cell r="F173" t="str">
            <v>35</v>
          </cell>
          <cell r="I173">
            <v>1</v>
          </cell>
          <cell r="J173">
            <v>0</v>
          </cell>
        </row>
        <row r="174">
          <cell r="D174" t="str">
            <v>ЦДН-3</v>
          </cell>
          <cell r="F174" t="str">
            <v>35</v>
          </cell>
          <cell r="I174">
            <v>1</v>
          </cell>
          <cell r="J174">
            <v>0</v>
          </cell>
        </row>
        <row r="175">
          <cell r="D175" t="str">
            <v>ЦДН-3</v>
          </cell>
          <cell r="F175" t="str">
            <v>35</v>
          </cell>
          <cell r="I175">
            <v>1</v>
          </cell>
          <cell r="J175">
            <v>0</v>
          </cell>
        </row>
        <row r="176">
          <cell r="D176" t="str">
            <v>ЦДН-3</v>
          </cell>
          <cell r="F176" t="str">
            <v>35</v>
          </cell>
          <cell r="I176">
            <v>1</v>
          </cell>
          <cell r="J176">
            <v>0</v>
          </cell>
        </row>
        <row r="177">
          <cell r="D177" t="str">
            <v>ЦДН-3</v>
          </cell>
          <cell r="F177" t="str">
            <v>35</v>
          </cell>
          <cell r="I177">
            <v>1</v>
          </cell>
          <cell r="J177">
            <v>0</v>
          </cell>
        </row>
        <row r="178">
          <cell r="D178" t="str">
            <v>ЦДН-3</v>
          </cell>
          <cell r="F178" t="str">
            <v>35</v>
          </cell>
          <cell r="I178">
            <v>0</v>
          </cell>
          <cell r="J178">
            <v>1</v>
          </cell>
        </row>
        <row r="179">
          <cell r="D179" t="str">
            <v>ЦДН-3</v>
          </cell>
          <cell r="F179" t="str">
            <v>35</v>
          </cell>
          <cell r="I179">
            <v>0</v>
          </cell>
          <cell r="J179">
            <v>1</v>
          </cell>
        </row>
        <row r="180">
          <cell r="D180" t="str">
            <v>ЦДН-3</v>
          </cell>
          <cell r="F180" t="str">
            <v>35</v>
          </cell>
          <cell r="I180">
            <v>0</v>
          </cell>
          <cell r="J180">
            <v>1</v>
          </cell>
        </row>
        <row r="181">
          <cell r="D181" t="str">
            <v>ЦДН-3</v>
          </cell>
          <cell r="F181" t="str">
            <v>38</v>
          </cell>
          <cell r="I181">
            <v>1</v>
          </cell>
          <cell r="J181">
            <v>0</v>
          </cell>
        </row>
        <row r="182">
          <cell r="D182" t="str">
            <v>ЦДН-3</v>
          </cell>
          <cell r="F182" t="str">
            <v>47</v>
          </cell>
          <cell r="I182">
            <v>1</v>
          </cell>
          <cell r="J182">
            <v>0</v>
          </cell>
        </row>
        <row r="183">
          <cell r="D183" t="str">
            <v>ЦДН-3</v>
          </cell>
          <cell r="F183" t="str">
            <v>47</v>
          </cell>
          <cell r="I183">
            <v>1</v>
          </cell>
          <cell r="J183">
            <v>0</v>
          </cell>
        </row>
        <row r="184">
          <cell r="D184" t="str">
            <v>ЦДН-3</v>
          </cell>
          <cell r="F184" t="str">
            <v>49</v>
          </cell>
          <cell r="I184">
            <v>1</v>
          </cell>
          <cell r="J184">
            <v>0</v>
          </cell>
        </row>
        <row r="185">
          <cell r="D185" t="str">
            <v>ЦДН-3</v>
          </cell>
          <cell r="F185" t="str">
            <v>49</v>
          </cell>
          <cell r="I185">
            <v>1</v>
          </cell>
          <cell r="J185">
            <v>0</v>
          </cell>
        </row>
        <row r="186">
          <cell r="D186" t="str">
            <v>ЦДН-3</v>
          </cell>
          <cell r="F186" t="str">
            <v>49</v>
          </cell>
          <cell r="I186">
            <v>0</v>
          </cell>
          <cell r="J186">
            <v>1</v>
          </cell>
        </row>
        <row r="187">
          <cell r="D187" t="str">
            <v>ЦДН-3</v>
          </cell>
          <cell r="F187" t="str">
            <v>13</v>
          </cell>
          <cell r="I187">
            <v>0</v>
          </cell>
          <cell r="J187">
            <v>1</v>
          </cell>
        </row>
        <row r="188">
          <cell r="D188" t="str">
            <v>ЦДН-3</v>
          </cell>
          <cell r="F188" t="str">
            <v>13</v>
          </cell>
          <cell r="I188">
            <v>1</v>
          </cell>
          <cell r="J188">
            <v>0</v>
          </cell>
        </row>
        <row r="189">
          <cell r="D189" t="str">
            <v>ЦДН-3</v>
          </cell>
          <cell r="F189" t="str">
            <v>20</v>
          </cell>
          <cell r="I189">
            <v>1</v>
          </cell>
          <cell r="J189">
            <v>0</v>
          </cell>
        </row>
        <row r="190">
          <cell r="D190" t="str">
            <v>ЦДН-3</v>
          </cell>
          <cell r="F190" t="str">
            <v>20</v>
          </cell>
          <cell r="I190">
            <v>1</v>
          </cell>
          <cell r="J190">
            <v>0</v>
          </cell>
        </row>
        <row r="191">
          <cell r="D191" t="str">
            <v>ЦДН-3</v>
          </cell>
          <cell r="F191" t="str">
            <v>62</v>
          </cell>
          <cell r="I191">
            <v>1</v>
          </cell>
          <cell r="J191">
            <v>0</v>
          </cell>
        </row>
        <row r="192">
          <cell r="D192" t="str">
            <v>ЦДН-3</v>
          </cell>
          <cell r="F192" t="str">
            <v>34</v>
          </cell>
          <cell r="I192">
            <v>1</v>
          </cell>
          <cell r="J192">
            <v>0</v>
          </cell>
        </row>
        <row r="193">
          <cell r="D193" t="str">
            <v>ЦДН-3</v>
          </cell>
          <cell r="F193" t="str">
            <v>35</v>
          </cell>
          <cell r="I193">
            <v>1</v>
          </cell>
          <cell r="J193">
            <v>0</v>
          </cell>
        </row>
        <row r="194">
          <cell r="D194" t="str">
            <v>ЦДН-3</v>
          </cell>
          <cell r="F194" t="str">
            <v>13</v>
          </cell>
          <cell r="I194">
            <v>0</v>
          </cell>
          <cell r="J194">
            <v>1</v>
          </cell>
        </row>
        <row r="195">
          <cell r="D195" t="str">
            <v>ЦДН-3</v>
          </cell>
          <cell r="F195" t="str">
            <v>13</v>
          </cell>
          <cell r="I195">
            <v>1</v>
          </cell>
          <cell r="J195">
            <v>0</v>
          </cell>
        </row>
        <row r="196">
          <cell r="D196" t="str">
            <v>ЦДН-3</v>
          </cell>
          <cell r="F196" t="str">
            <v>13</v>
          </cell>
          <cell r="I196">
            <v>0</v>
          </cell>
          <cell r="J196">
            <v>1</v>
          </cell>
        </row>
        <row r="197">
          <cell r="D197" t="str">
            <v>ЦДН-3</v>
          </cell>
          <cell r="F197" t="str">
            <v>13</v>
          </cell>
          <cell r="I197">
            <v>0</v>
          </cell>
          <cell r="J197">
            <v>1</v>
          </cell>
        </row>
        <row r="198">
          <cell r="D198" t="str">
            <v>ЦДН-3</v>
          </cell>
          <cell r="F198" t="str">
            <v>13</v>
          </cell>
          <cell r="I198">
            <v>1</v>
          </cell>
          <cell r="J198">
            <v>0</v>
          </cell>
        </row>
        <row r="199">
          <cell r="D199" t="str">
            <v>ЦДН-3</v>
          </cell>
          <cell r="F199" t="str">
            <v>13</v>
          </cell>
          <cell r="I199">
            <v>0</v>
          </cell>
          <cell r="J199">
            <v>1</v>
          </cell>
        </row>
        <row r="200">
          <cell r="D200" t="str">
            <v>ЦДН-3</v>
          </cell>
          <cell r="F200" t="str">
            <v>13</v>
          </cell>
          <cell r="I200">
            <v>1</v>
          </cell>
          <cell r="J200">
            <v>0</v>
          </cell>
        </row>
        <row r="201">
          <cell r="D201" t="str">
            <v>ЦДН-3</v>
          </cell>
          <cell r="F201" t="str">
            <v>13</v>
          </cell>
          <cell r="I201">
            <v>1</v>
          </cell>
          <cell r="J201">
            <v>0</v>
          </cell>
        </row>
        <row r="202">
          <cell r="D202" t="str">
            <v>ЦДН-3</v>
          </cell>
          <cell r="F202" t="str">
            <v>13</v>
          </cell>
          <cell r="I202">
            <v>1</v>
          </cell>
          <cell r="J202">
            <v>0</v>
          </cell>
        </row>
        <row r="203">
          <cell r="D203" t="str">
            <v>ЦДН-3</v>
          </cell>
          <cell r="F203" t="str">
            <v>13</v>
          </cell>
          <cell r="I203">
            <v>1</v>
          </cell>
          <cell r="J203">
            <v>0</v>
          </cell>
        </row>
        <row r="204">
          <cell r="D204" t="str">
            <v>ЦДН-3</v>
          </cell>
          <cell r="F204" t="str">
            <v>13</v>
          </cell>
          <cell r="I204">
            <v>1</v>
          </cell>
          <cell r="J204">
            <v>0</v>
          </cell>
        </row>
        <row r="205">
          <cell r="D205" t="str">
            <v>ЦДН-3</v>
          </cell>
          <cell r="F205" t="str">
            <v>13</v>
          </cell>
          <cell r="I205">
            <v>1</v>
          </cell>
          <cell r="J205">
            <v>0</v>
          </cell>
        </row>
        <row r="206">
          <cell r="D206" t="str">
            <v>ЦДН-3</v>
          </cell>
          <cell r="F206" t="str">
            <v>13</v>
          </cell>
          <cell r="I206">
            <v>1</v>
          </cell>
          <cell r="J206">
            <v>0</v>
          </cell>
        </row>
        <row r="207">
          <cell r="D207" t="str">
            <v>ЦДН-3</v>
          </cell>
          <cell r="F207" t="str">
            <v>13</v>
          </cell>
          <cell r="I207">
            <v>1</v>
          </cell>
          <cell r="J207">
            <v>0</v>
          </cell>
        </row>
        <row r="208">
          <cell r="D208" t="str">
            <v>ЦДН-3</v>
          </cell>
          <cell r="F208" t="str">
            <v>13</v>
          </cell>
          <cell r="I208">
            <v>1</v>
          </cell>
          <cell r="J208">
            <v>0</v>
          </cell>
        </row>
        <row r="209">
          <cell r="D209" t="str">
            <v>ЦДН-3</v>
          </cell>
          <cell r="F209" t="str">
            <v>13</v>
          </cell>
          <cell r="I209">
            <v>0</v>
          </cell>
          <cell r="J209">
            <v>1</v>
          </cell>
        </row>
        <row r="210">
          <cell r="D210" t="str">
            <v>ЦДН-3</v>
          </cell>
          <cell r="F210" t="str">
            <v>13</v>
          </cell>
          <cell r="I210">
            <v>1</v>
          </cell>
          <cell r="J210">
            <v>0</v>
          </cell>
        </row>
        <row r="211">
          <cell r="D211" t="str">
            <v>ЦДН-3</v>
          </cell>
          <cell r="F211" t="str">
            <v>13</v>
          </cell>
          <cell r="I211">
            <v>1</v>
          </cell>
          <cell r="J211">
            <v>0</v>
          </cell>
        </row>
        <row r="212">
          <cell r="D212" t="str">
            <v>ЦДН-3</v>
          </cell>
          <cell r="F212" t="str">
            <v>20</v>
          </cell>
          <cell r="I212">
            <v>1</v>
          </cell>
          <cell r="J212">
            <v>0</v>
          </cell>
        </row>
        <row r="213">
          <cell r="D213" t="str">
            <v>ЦДН-3</v>
          </cell>
          <cell r="F213" t="str">
            <v>20</v>
          </cell>
          <cell r="I213">
            <v>1</v>
          </cell>
          <cell r="J213">
            <v>0</v>
          </cell>
        </row>
        <row r="214">
          <cell r="D214" t="str">
            <v>ЦППД</v>
          </cell>
          <cell r="F214" t="str">
            <v>13</v>
          </cell>
          <cell r="I214">
            <v>1</v>
          </cell>
          <cell r="J214">
            <v>0</v>
          </cell>
        </row>
        <row r="215">
          <cell r="D215" t="str">
            <v>ЦППД</v>
          </cell>
          <cell r="F215" t="str">
            <v>20</v>
          </cell>
          <cell r="I215">
            <v>1</v>
          </cell>
          <cell r="J215">
            <v>0</v>
          </cell>
        </row>
        <row r="216">
          <cell r="D216" t="str">
            <v>ЦППД</v>
          </cell>
          <cell r="F216" t="str">
            <v>20</v>
          </cell>
          <cell r="I216">
            <v>1</v>
          </cell>
          <cell r="J216">
            <v>0</v>
          </cell>
        </row>
        <row r="217">
          <cell r="D217" t="str">
            <v>ЦППД</v>
          </cell>
          <cell r="F217" t="str">
            <v>20</v>
          </cell>
          <cell r="I217">
            <v>1</v>
          </cell>
          <cell r="J217">
            <v>0</v>
          </cell>
        </row>
        <row r="218">
          <cell r="D218" t="str">
            <v>ЦППД</v>
          </cell>
          <cell r="F218" t="str">
            <v>47</v>
          </cell>
          <cell r="I218">
            <v>1</v>
          </cell>
          <cell r="J218">
            <v>0</v>
          </cell>
        </row>
        <row r="219">
          <cell r="D219" t="str">
            <v>ЦППД</v>
          </cell>
          <cell r="F219" t="str">
            <v>28</v>
          </cell>
          <cell r="I219">
            <v>1</v>
          </cell>
          <cell r="J219">
            <v>0</v>
          </cell>
        </row>
        <row r="220">
          <cell r="D220" t="str">
            <v>ЦППД</v>
          </cell>
          <cell r="F220" t="str">
            <v>13</v>
          </cell>
          <cell r="I220">
            <v>1</v>
          </cell>
          <cell r="J220">
            <v>0</v>
          </cell>
        </row>
        <row r="221">
          <cell r="D221" t="str">
            <v>ЦППД</v>
          </cell>
          <cell r="F221" t="str">
            <v>13</v>
          </cell>
          <cell r="I221">
            <v>1</v>
          </cell>
          <cell r="J221">
            <v>0</v>
          </cell>
        </row>
        <row r="222">
          <cell r="D222" t="str">
            <v>ЦППД</v>
          </cell>
          <cell r="F222" t="str">
            <v>53</v>
          </cell>
          <cell r="I222">
            <v>1</v>
          </cell>
          <cell r="J222">
            <v>0</v>
          </cell>
        </row>
        <row r="223">
          <cell r="D223" t="str">
            <v>ЦППД</v>
          </cell>
          <cell r="F223" t="str">
            <v>13</v>
          </cell>
          <cell r="I223">
            <v>0</v>
          </cell>
          <cell r="J223">
            <v>1</v>
          </cell>
        </row>
        <row r="224">
          <cell r="D224" t="str">
            <v>ЦППД</v>
          </cell>
          <cell r="F224" t="str">
            <v>13</v>
          </cell>
          <cell r="I224">
            <v>1</v>
          </cell>
          <cell r="J224">
            <v>0</v>
          </cell>
        </row>
        <row r="225">
          <cell r="D225" t="str">
            <v>ЦППД</v>
          </cell>
          <cell r="F225" t="str">
            <v>13</v>
          </cell>
          <cell r="I225">
            <v>1</v>
          </cell>
          <cell r="J225">
            <v>0</v>
          </cell>
        </row>
        <row r="226">
          <cell r="D226" t="str">
            <v>ЦППД</v>
          </cell>
          <cell r="F226" t="str">
            <v>13</v>
          </cell>
          <cell r="I226">
            <v>1</v>
          </cell>
          <cell r="J226">
            <v>0</v>
          </cell>
        </row>
        <row r="227">
          <cell r="D227" t="str">
            <v>ЦППД</v>
          </cell>
          <cell r="F227" t="str">
            <v>13</v>
          </cell>
          <cell r="I227">
            <v>1</v>
          </cell>
          <cell r="J227">
            <v>0</v>
          </cell>
        </row>
        <row r="228">
          <cell r="D228" t="str">
            <v>ЦППД</v>
          </cell>
          <cell r="F228" t="str">
            <v>13</v>
          </cell>
          <cell r="I228">
            <v>1</v>
          </cell>
          <cell r="J228">
            <v>0</v>
          </cell>
        </row>
        <row r="229">
          <cell r="D229" t="str">
            <v>ЦППД</v>
          </cell>
          <cell r="F229" t="str">
            <v>13</v>
          </cell>
          <cell r="I229">
            <v>1</v>
          </cell>
          <cell r="J229">
            <v>0</v>
          </cell>
        </row>
        <row r="230">
          <cell r="D230" t="str">
            <v>ЦППД</v>
          </cell>
          <cell r="F230" t="str">
            <v>13</v>
          </cell>
          <cell r="I230">
            <v>1</v>
          </cell>
          <cell r="J230">
            <v>0</v>
          </cell>
        </row>
        <row r="231">
          <cell r="D231" t="str">
            <v>ЦППД</v>
          </cell>
          <cell r="F231" t="str">
            <v>13</v>
          </cell>
          <cell r="I231">
            <v>1</v>
          </cell>
          <cell r="J231">
            <v>0</v>
          </cell>
        </row>
        <row r="232">
          <cell r="D232" t="str">
            <v>ЦППД</v>
          </cell>
          <cell r="F232" t="str">
            <v>13</v>
          </cell>
          <cell r="I232">
            <v>1</v>
          </cell>
          <cell r="J232">
            <v>0</v>
          </cell>
        </row>
        <row r="233">
          <cell r="D233" t="str">
            <v>ЦППД</v>
          </cell>
          <cell r="F233" t="str">
            <v>13</v>
          </cell>
          <cell r="I233">
            <v>1</v>
          </cell>
          <cell r="J233">
            <v>0</v>
          </cell>
        </row>
        <row r="234">
          <cell r="D234" t="str">
            <v>ЦППН</v>
          </cell>
          <cell r="F234" t="str">
            <v>13</v>
          </cell>
          <cell r="I234">
            <v>1</v>
          </cell>
          <cell r="J234">
            <v>0</v>
          </cell>
        </row>
        <row r="235">
          <cell r="D235" t="str">
            <v>ЦППН</v>
          </cell>
          <cell r="F235" t="str">
            <v>20</v>
          </cell>
          <cell r="I235">
            <v>1</v>
          </cell>
          <cell r="J235">
            <v>0</v>
          </cell>
        </row>
        <row r="236">
          <cell r="D236" t="str">
            <v>ГЦ</v>
          </cell>
          <cell r="F236" t="str">
            <v>13.1</v>
          </cell>
          <cell r="I236">
            <v>1</v>
          </cell>
          <cell r="J236">
            <v>0</v>
          </cell>
        </row>
        <row r="237">
          <cell r="D237" t="str">
            <v>ГЦ</v>
          </cell>
          <cell r="F237" t="str">
            <v>13</v>
          </cell>
          <cell r="I237">
            <v>0</v>
          </cell>
          <cell r="J237">
            <v>1</v>
          </cell>
        </row>
        <row r="238">
          <cell r="D238" t="str">
            <v>ГЦ</v>
          </cell>
          <cell r="F238" t="str">
            <v>13</v>
          </cell>
          <cell r="I238">
            <v>0</v>
          </cell>
          <cell r="J238">
            <v>1</v>
          </cell>
        </row>
        <row r="239">
          <cell r="D239" t="str">
            <v>ГЦ</v>
          </cell>
          <cell r="F239" t="str">
            <v>13</v>
          </cell>
          <cell r="I239">
            <v>1</v>
          </cell>
          <cell r="J239">
            <v>0</v>
          </cell>
        </row>
        <row r="240">
          <cell r="D240" t="str">
            <v>ГЦ</v>
          </cell>
          <cell r="F240" t="str">
            <v>13</v>
          </cell>
          <cell r="I240">
            <v>1</v>
          </cell>
          <cell r="J240">
            <v>0</v>
          </cell>
        </row>
        <row r="241">
          <cell r="D241" t="str">
            <v>ГЦ</v>
          </cell>
          <cell r="F241" t="str">
            <v>13</v>
          </cell>
          <cell r="I241">
            <v>1</v>
          </cell>
          <cell r="J241">
            <v>0</v>
          </cell>
        </row>
        <row r="242">
          <cell r="D242" t="str">
            <v>ГЦ</v>
          </cell>
          <cell r="F242" t="str">
            <v>13</v>
          </cell>
          <cell r="I242">
            <v>1</v>
          </cell>
          <cell r="J242">
            <v>0</v>
          </cell>
        </row>
        <row r="243">
          <cell r="D243" t="str">
            <v>ГЦ</v>
          </cell>
          <cell r="F243" t="str">
            <v>13</v>
          </cell>
          <cell r="I243">
            <v>1</v>
          </cell>
          <cell r="J243">
            <v>0</v>
          </cell>
        </row>
        <row r="244">
          <cell r="D244" t="str">
            <v>ГЦ</v>
          </cell>
          <cell r="F244" t="str">
            <v>13</v>
          </cell>
          <cell r="I244">
            <v>1</v>
          </cell>
          <cell r="J244">
            <v>0</v>
          </cell>
        </row>
        <row r="245">
          <cell r="D245" t="str">
            <v>ГЦ</v>
          </cell>
          <cell r="F245" t="str">
            <v>20</v>
          </cell>
          <cell r="I245">
            <v>1</v>
          </cell>
          <cell r="J245">
            <v>0</v>
          </cell>
        </row>
        <row r="246">
          <cell r="D246" t="str">
            <v>ЦППН</v>
          </cell>
          <cell r="F246" t="str">
            <v>20</v>
          </cell>
          <cell r="I246">
            <v>1</v>
          </cell>
          <cell r="J246">
            <v>0</v>
          </cell>
        </row>
        <row r="247">
          <cell r="D247" t="str">
            <v>ЛД</v>
          </cell>
          <cell r="F247" t="str">
            <v>13</v>
          </cell>
          <cell r="I247">
            <v>1</v>
          </cell>
          <cell r="J247">
            <v>0</v>
          </cell>
        </row>
        <row r="248">
          <cell r="D248" t="str">
            <v>ЛД</v>
          </cell>
          <cell r="F248" t="str">
            <v>13</v>
          </cell>
          <cell r="I248">
            <v>1</v>
          </cell>
          <cell r="J248">
            <v>0</v>
          </cell>
        </row>
        <row r="249">
          <cell r="D249" t="str">
            <v>ЦИТС</v>
          </cell>
          <cell r="F249" t="str">
            <v>12</v>
          </cell>
          <cell r="I249">
            <v>1</v>
          </cell>
          <cell r="J249">
            <v>0</v>
          </cell>
        </row>
        <row r="250">
          <cell r="D250" t="str">
            <v>ЦИТС</v>
          </cell>
          <cell r="F250" t="str">
            <v>12</v>
          </cell>
          <cell r="I250">
            <v>1</v>
          </cell>
          <cell r="J250">
            <v>0</v>
          </cell>
        </row>
        <row r="251">
          <cell r="D251" t="str">
            <v>ЦИТС</v>
          </cell>
          <cell r="F251" t="str">
            <v>12</v>
          </cell>
          <cell r="I251">
            <v>1</v>
          </cell>
          <cell r="J251">
            <v>0</v>
          </cell>
        </row>
        <row r="252">
          <cell r="D252" t="str">
            <v>ЦИТС</v>
          </cell>
          <cell r="F252" t="str">
            <v>12</v>
          </cell>
          <cell r="I252">
            <v>1</v>
          </cell>
          <cell r="J252">
            <v>0</v>
          </cell>
        </row>
        <row r="253">
          <cell r="D253" t="str">
            <v>ЦИТС</v>
          </cell>
          <cell r="F253" t="str">
            <v>23</v>
          </cell>
          <cell r="I253">
            <v>1</v>
          </cell>
          <cell r="J253">
            <v>0</v>
          </cell>
        </row>
        <row r="254">
          <cell r="D254" t="str">
            <v>ЦИТС</v>
          </cell>
          <cell r="F254" t="str">
            <v>23</v>
          </cell>
          <cell r="I254">
            <v>1</v>
          </cell>
          <cell r="J254">
            <v>0</v>
          </cell>
        </row>
        <row r="255">
          <cell r="D255" t="str">
            <v>Отделкадр</v>
          </cell>
          <cell r="F255" t="str">
            <v>13.1</v>
          </cell>
          <cell r="I255">
            <v>1</v>
          </cell>
          <cell r="J255">
            <v>0</v>
          </cell>
        </row>
        <row r="256">
          <cell r="D256" t="str">
            <v>Отделкадр</v>
          </cell>
          <cell r="F256" t="str">
            <v>20</v>
          </cell>
          <cell r="I256">
            <v>1</v>
          </cell>
          <cell r="J256">
            <v>0</v>
          </cell>
        </row>
        <row r="257">
          <cell r="D257" t="str">
            <v>ГАПиИТ</v>
          </cell>
          <cell r="F257" t="str">
            <v>13.1</v>
          </cell>
          <cell r="I257">
            <v>1</v>
          </cell>
          <cell r="J257">
            <v>0</v>
          </cell>
        </row>
        <row r="258">
          <cell r="D258" t="str">
            <v>ЦИТС.</v>
          </cell>
          <cell r="F258" t="str">
            <v>13</v>
          </cell>
          <cell r="I258">
            <v>1</v>
          </cell>
          <cell r="J258">
            <v>0</v>
          </cell>
        </row>
        <row r="259">
          <cell r="D259" t="str">
            <v>ЦИТС.</v>
          </cell>
          <cell r="F259" t="str">
            <v>13</v>
          </cell>
          <cell r="I259">
            <v>1</v>
          </cell>
          <cell r="J259">
            <v>0</v>
          </cell>
        </row>
        <row r="260">
          <cell r="D260" t="str">
            <v>ОБО</v>
          </cell>
          <cell r="F260" t="str">
            <v>13.1</v>
          </cell>
          <cell r="I260">
            <v>1</v>
          </cell>
          <cell r="J260">
            <v>0</v>
          </cell>
        </row>
        <row r="261">
          <cell r="D261" t="str">
            <v>ОБО</v>
          </cell>
          <cell r="F261" t="str">
            <v>13.1</v>
          </cell>
          <cell r="I261">
            <v>1</v>
          </cell>
          <cell r="J261">
            <v>0</v>
          </cell>
        </row>
        <row r="262">
          <cell r="D262" t="str">
            <v>ОБиПКРС</v>
          </cell>
          <cell r="F262" t="str">
            <v>13</v>
          </cell>
          <cell r="I262">
            <v>1</v>
          </cell>
          <cell r="J262">
            <v>0</v>
          </cell>
        </row>
        <row r="263">
          <cell r="D263" t="str">
            <v>ОБиПКРС</v>
          </cell>
          <cell r="F263" t="str">
            <v>13</v>
          </cell>
          <cell r="I263">
            <v>1</v>
          </cell>
          <cell r="J263">
            <v>0</v>
          </cell>
        </row>
        <row r="264">
          <cell r="D264" t="str">
            <v>ОБиПКРС</v>
          </cell>
          <cell r="F264" t="str">
            <v>13</v>
          </cell>
          <cell r="I264">
            <v>1</v>
          </cell>
          <cell r="J264">
            <v>1</v>
          </cell>
        </row>
        <row r="265">
          <cell r="D265" t="str">
            <v>ОБиПКРС</v>
          </cell>
          <cell r="F265" t="str">
            <v>13</v>
          </cell>
          <cell r="I265">
            <v>1</v>
          </cell>
          <cell r="J265">
            <v>1</v>
          </cell>
        </row>
        <row r="266">
          <cell r="D266" t="str">
            <v>ОБиПКРС</v>
          </cell>
          <cell r="F266" t="str">
            <v>13</v>
          </cell>
          <cell r="I266">
            <v>1</v>
          </cell>
          <cell r="J266">
            <v>1</v>
          </cell>
        </row>
        <row r="267">
          <cell r="D267" t="str">
            <v>ОБиПКРС</v>
          </cell>
          <cell r="F267" t="str">
            <v>13</v>
          </cell>
          <cell r="I267">
            <v>0</v>
          </cell>
          <cell r="J267">
            <v>1</v>
          </cell>
        </row>
        <row r="268">
          <cell r="D268" t="str">
            <v>ОБиПКРС</v>
          </cell>
          <cell r="F268" t="str">
            <v>13</v>
          </cell>
          <cell r="I268">
            <v>1</v>
          </cell>
          <cell r="J268">
            <v>0</v>
          </cell>
        </row>
        <row r="269">
          <cell r="D269" t="str">
            <v>ОМ</v>
          </cell>
          <cell r="F269" t="str">
            <v>13</v>
          </cell>
          <cell r="I269">
            <v>1</v>
          </cell>
          <cell r="J269">
            <v>0</v>
          </cell>
        </row>
        <row r="270">
          <cell r="D270" t="str">
            <v>ОГиР</v>
          </cell>
          <cell r="F270" t="str">
            <v>13</v>
          </cell>
          <cell r="I270">
            <v>1</v>
          </cell>
          <cell r="J270">
            <v>0</v>
          </cell>
        </row>
        <row r="271">
          <cell r="D271" t="str">
            <v>ОГиР</v>
          </cell>
          <cell r="F271" t="str">
            <v>20</v>
          </cell>
          <cell r="I271">
            <v>1</v>
          </cell>
          <cell r="J271">
            <v>0</v>
          </cell>
        </row>
        <row r="272">
          <cell r="D272" t="str">
            <v>ОГиР</v>
          </cell>
          <cell r="F272" t="str">
            <v>13</v>
          </cell>
          <cell r="I272">
            <v>1</v>
          </cell>
          <cell r="J272">
            <v>0</v>
          </cell>
        </row>
        <row r="273">
          <cell r="D273" t="str">
            <v>ОТДН</v>
          </cell>
          <cell r="F273" t="str">
            <v>13</v>
          </cell>
          <cell r="I273">
            <v>1</v>
          </cell>
          <cell r="J273">
            <v>0</v>
          </cell>
        </row>
        <row r="274">
          <cell r="D274" t="str">
            <v>ОТДН</v>
          </cell>
          <cell r="F274" t="str">
            <v>13</v>
          </cell>
          <cell r="I274">
            <v>1</v>
          </cell>
          <cell r="J274">
            <v>0</v>
          </cell>
        </row>
        <row r="275">
          <cell r="D275" t="str">
            <v>ОТДН</v>
          </cell>
          <cell r="F275" t="str">
            <v>13</v>
          </cell>
          <cell r="I275">
            <v>1</v>
          </cell>
          <cell r="J275">
            <v>0</v>
          </cell>
        </row>
        <row r="276">
          <cell r="D276" t="str">
            <v>ОТДН</v>
          </cell>
          <cell r="F276" t="str">
            <v>13</v>
          </cell>
          <cell r="I276">
            <v>0</v>
          </cell>
          <cell r="J276">
            <v>1</v>
          </cell>
        </row>
        <row r="277">
          <cell r="D277" t="str">
            <v>ОТДН</v>
          </cell>
          <cell r="F277" t="str">
            <v>13</v>
          </cell>
          <cell r="I277">
            <v>1</v>
          </cell>
          <cell r="J277">
            <v>0</v>
          </cell>
        </row>
        <row r="278">
          <cell r="D278" t="str">
            <v>ОТДН</v>
          </cell>
          <cell r="F278" t="str">
            <v>13</v>
          </cell>
          <cell r="I278">
            <v>1</v>
          </cell>
          <cell r="J278">
            <v>0</v>
          </cell>
        </row>
        <row r="279">
          <cell r="D279" t="str">
            <v>ЦНИПР</v>
          </cell>
          <cell r="F279" t="str">
            <v>42</v>
          </cell>
          <cell r="I279">
            <v>1</v>
          </cell>
          <cell r="J279">
            <v>0</v>
          </cell>
        </row>
        <row r="280">
          <cell r="D280" t="str">
            <v>ЦНИПР</v>
          </cell>
          <cell r="F280" t="str">
            <v>42</v>
          </cell>
          <cell r="I280">
            <v>0</v>
          </cell>
          <cell r="J280">
            <v>1</v>
          </cell>
        </row>
        <row r="281">
          <cell r="D281" t="str">
            <v>ЦНИПР</v>
          </cell>
          <cell r="F281" t="str">
            <v>42</v>
          </cell>
          <cell r="I281">
            <v>1</v>
          </cell>
          <cell r="J281">
            <v>0</v>
          </cell>
        </row>
        <row r="282">
          <cell r="D282" t="str">
            <v>ЦНИПР</v>
          </cell>
          <cell r="F282" t="str">
            <v>42</v>
          </cell>
          <cell r="I282">
            <v>1</v>
          </cell>
          <cell r="J282">
            <v>0</v>
          </cell>
        </row>
        <row r="283">
          <cell r="D283" t="str">
            <v>ЦНИПР</v>
          </cell>
          <cell r="F283" t="str">
            <v>13</v>
          </cell>
          <cell r="I283">
            <v>1</v>
          </cell>
          <cell r="J283">
            <v>0</v>
          </cell>
        </row>
        <row r="284">
          <cell r="D284" t="str">
            <v>ЦНИПР</v>
          </cell>
          <cell r="F284" t="str">
            <v>20</v>
          </cell>
          <cell r="I284">
            <v>1</v>
          </cell>
          <cell r="J284">
            <v>0</v>
          </cell>
        </row>
        <row r="285">
          <cell r="D285" t="str">
            <v>ЦНИПР</v>
          </cell>
          <cell r="F285" t="str">
            <v>13</v>
          </cell>
          <cell r="I285">
            <v>0</v>
          </cell>
          <cell r="J285">
            <v>1</v>
          </cell>
        </row>
        <row r="286">
          <cell r="D286" t="str">
            <v>ЦНИПР</v>
          </cell>
          <cell r="F286" t="str">
            <v>13</v>
          </cell>
          <cell r="I286">
            <v>0</v>
          </cell>
          <cell r="J286">
            <v>1</v>
          </cell>
        </row>
        <row r="287">
          <cell r="D287" t="str">
            <v>ЦНИПР</v>
          </cell>
          <cell r="F287" t="str">
            <v>13</v>
          </cell>
          <cell r="I287">
            <v>1</v>
          </cell>
          <cell r="J287">
            <v>0</v>
          </cell>
        </row>
        <row r="288">
          <cell r="D288" t="str">
            <v>ЦНИПР</v>
          </cell>
          <cell r="F288" t="str">
            <v>13</v>
          </cell>
          <cell r="I288">
            <v>1</v>
          </cell>
          <cell r="J288">
            <v>0</v>
          </cell>
        </row>
        <row r="289">
          <cell r="D289" t="str">
            <v>ЦНИПР</v>
          </cell>
          <cell r="F289" t="str">
            <v>13</v>
          </cell>
          <cell r="I289">
            <v>1</v>
          </cell>
          <cell r="J289">
            <v>0</v>
          </cell>
        </row>
        <row r="290">
          <cell r="D290" t="str">
            <v>ЦНИПР</v>
          </cell>
          <cell r="F290" t="str">
            <v>13</v>
          </cell>
          <cell r="I290">
            <v>1</v>
          </cell>
          <cell r="J290">
            <v>0</v>
          </cell>
        </row>
        <row r="291">
          <cell r="D291" t="str">
            <v>ЦНИПР</v>
          </cell>
          <cell r="F291" t="str">
            <v>20</v>
          </cell>
          <cell r="I291">
            <v>1</v>
          </cell>
          <cell r="J291">
            <v>0</v>
          </cell>
        </row>
        <row r="292">
          <cell r="D292" t="str">
            <v>ЭЦ</v>
          </cell>
          <cell r="F292" t="str">
            <v>13</v>
          </cell>
          <cell r="I292">
            <v>1</v>
          </cell>
          <cell r="J292">
            <v>0</v>
          </cell>
        </row>
        <row r="293">
          <cell r="D293" t="str">
            <v>ЭЦ</v>
          </cell>
          <cell r="F293" t="str">
            <v>13</v>
          </cell>
          <cell r="I293">
            <v>1</v>
          </cell>
          <cell r="J293">
            <v>0</v>
          </cell>
        </row>
        <row r="294">
          <cell r="D294" t="str">
            <v>ЭЦ</v>
          </cell>
          <cell r="F294" t="str">
            <v>13.1</v>
          </cell>
          <cell r="I294">
            <v>1</v>
          </cell>
          <cell r="J294">
            <v>0</v>
          </cell>
        </row>
        <row r="295">
          <cell r="D295" t="str">
            <v>ЭЦ</v>
          </cell>
          <cell r="F295" t="str">
            <v>13.1</v>
          </cell>
          <cell r="I295">
            <v>1</v>
          </cell>
          <cell r="J295">
            <v>0</v>
          </cell>
        </row>
        <row r="296">
          <cell r="D296" t="str">
            <v>ЭЦ</v>
          </cell>
          <cell r="F296" t="str">
            <v>20</v>
          </cell>
          <cell r="I296">
            <v>1</v>
          </cell>
          <cell r="J296">
            <v>0</v>
          </cell>
        </row>
        <row r="297">
          <cell r="D297" t="str">
            <v>ЭЦ</v>
          </cell>
          <cell r="F297" t="str">
            <v>20</v>
          </cell>
          <cell r="I297">
            <v>1</v>
          </cell>
          <cell r="J297">
            <v>0</v>
          </cell>
        </row>
        <row r="298">
          <cell r="D298" t="str">
            <v>ЭЦ</v>
          </cell>
          <cell r="F298" t="str">
            <v>20</v>
          </cell>
          <cell r="I298">
            <v>1</v>
          </cell>
          <cell r="J298">
            <v>0</v>
          </cell>
        </row>
        <row r="299">
          <cell r="D299" t="str">
            <v>ЭЦ</v>
          </cell>
          <cell r="F299" t="str">
            <v>28</v>
          </cell>
          <cell r="I299">
            <v>1</v>
          </cell>
          <cell r="J299">
            <v>0</v>
          </cell>
        </row>
        <row r="300">
          <cell r="D300" t="str">
            <v>ЭЦ</v>
          </cell>
          <cell r="F300" t="str">
            <v>27</v>
          </cell>
          <cell r="I300">
            <v>1</v>
          </cell>
          <cell r="J300">
            <v>0</v>
          </cell>
        </row>
        <row r="301">
          <cell r="D301" t="str">
            <v>ЭЦ</v>
          </cell>
          <cell r="F301" t="str">
            <v>38</v>
          </cell>
          <cell r="I301">
            <v>1</v>
          </cell>
          <cell r="J301">
            <v>0</v>
          </cell>
        </row>
        <row r="302">
          <cell r="D302" t="str">
            <v>ЭЦ</v>
          </cell>
          <cell r="F302" t="str">
            <v>38</v>
          </cell>
          <cell r="I302">
            <v>1</v>
          </cell>
          <cell r="J302">
            <v>0</v>
          </cell>
        </row>
        <row r="303">
          <cell r="D303" t="str">
            <v>ЭЦ</v>
          </cell>
          <cell r="F303" t="str">
            <v>48</v>
          </cell>
          <cell r="I303">
            <v>1</v>
          </cell>
          <cell r="J303">
            <v>0</v>
          </cell>
        </row>
        <row r="304">
          <cell r="D304" t="str">
            <v>ЭЦ</v>
          </cell>
          <cell r="F304" t="str">
            <v>23</v>
          </cell>
          <cell r="I304">
            <v>1</v>
          </cell>
          <cell r="J304">
            <v>0</v>
          </cell>
        </row>
        <row r="305">
          <cell r="D305" t="str">
            <v>оппоIR</v>
          </cell>
          <cell r="F305" t="str">
            <v>13</v>
          </cell>
          <cell r="I305">
            <v>1</v>
          </cell>
          <cell r="J305">
            <v>0</v>
          </cell>
        </row>
        <row r="306">
          <cell r="D306" t="str">
            <v>ГСРиВК</v>
          </cell>
          <cell r="F306" t="str">
            <v>13.1</v>
          </cell>
          <cell r="I306">
            <v>1</v>
          </cell>
          <cell r="J306">
            <v>0</v>
          </cell>
        </row>
        <row r="307">
          <cell r="D307" t="str">
            <v>ГСРиВК</v>
          </cell>
          <cell r="F307" t="str">
            <v>13</v>
          </cell>
          <cell r="I307">
            <v>1</v>
          </cell>
          <cell r="J307">
            <v>0</v>
          </cell>
        </row>
        <row r="308">
          <cell r="D308" t="str">
            <v>ГСРиВК</v>
          </cell>
          <cell r="F308" t="str">
            <v>13</v>
          </cell>
          <cell r="I308">
            <v>0</v>
          </cell>
          <cell r="J308">
            <v>1</v>
          </cell>
        </row>
        <row r="309">
          <cell r="D309" t="str">
            <v>ЭЦ</v>
          </cell>
          <cell r="F309" t="str">
            <v>13</v>
          </cell>
          <cell r="I309">
            <v>1</v>
          </cell>
          <cell r="J309">
            <v>1</v>
          </cell>
        </row>
        <row r="310">
          <cell r="D310" t="str">
            <v>ЭЦ</v>
          </cell>
          <cell r="F310" t="str">
            <v>13</v>
          </cell>
          <cell r="I310">
            <v>1</v>
          </cell>
          <cell r="J310">
            <v>1</v>
          </cell>
        </row>
        <row r="311">
          <cell r="D311" t="str">
            <v>ЭЦ</v>
          </cell>
          <cell r="F311" t="str">
            <v>13</v>
          </cell>
          <cell r="I311">
            <v>1</v>
          </cell>
          <cell r="J311">
            <v>0</v>
          </cell>
        </row>
        <row r="312">
          <cell r="D312" t="str">
            <v>ЭЦ</v>
          </cell>
          <cell r="F312" t="str">
            <v>13</v>
          </cell>
          <cell r="I312">
            <v>1</v>
          </cell>
          <cell r="J312">
            <v>0</v>
          </cell>
        </row>
        <row r="313">
          <cell r="D313" t="str">
            <v>ЭЦ</v>
          </cell>
          <cell r="F313" t="str">
            <v>13</v>
          </cell>
          <cell r="I313">
            <v>1</v>
          </cell>
          <cell r="J313">
            <v>0</v>
          </cell>
        </row>
        <row r="314">
          <cell r="D314" t="str">
            <v>ЭЦ</v>
          </cell>
          <cell r="F314" t="str">
            <v>13</v>
          </cell>
          <cell r="I314">
            <v>1</v>
          </cell>
          <cell r="J314">
            <v>0</v>
          </cell>
        </row>
        <row r="315">
          <cell r="D315" t="str">
            <v>ЭЦ</v>
          </cell>
          <cell r="F315" t="str">
            <v>13</v>
          </cell>
          <cell r="I315">
            <v>1</v>
          </cell>
          <cell r="J315">
            <v>0</v>
          </cell>
        </row>
        <row r="316">
          <cell r="D316" t="str">
            <v>ЭЦ</v>
          </cell>
          <cell r="F316" t="str">
            <v>13</v>
          </cell>
          <cell r="I316">
            <v>1</v>
          </cell>
          <cell r="J316">
            <v>0</v>
          </cell>
        </row>
        <row r="317">
          <cell r="D317" t="str">
            <v>ЭЦ</v>
          </cell>
          <cell r="F317" t="str">
            <v>13</v>
          </cell>
          <cell r="I317">
            <v>1</v>
          </cell>
          <cell r="J317">
            <v>0</v>
          </cell>
        </row>
        <row r="318">
          <cell r="D318" t="str">
            <v>ЭЦ</v>
          </cell>
          <cell r="F318" t="str">
            <v>13</v>
          </cell>
          <cell r="I318">
            <v>1</v>
          </cell>
          <cell r="J318">
            <v>0</v>
          </cell>
        </row>
        <row r="319">
          <cell r="D319" t="str">
            <v>ЭЦ</v>
          </cell>
          <cell r="F319" t="str">
            <v>13</v>
          </cell>
          <cell r="I319">
            <v>1</v>
          </cell>
          <cell r="J319">
            <v>0</v>
          </cell>
        </row>
        <row r="320">
          <cell r="D320" t="str">
            <v>ЭЦ</v>
          </cell>
          <cell r="F320" t="str">
            <v>13</v>
          </cell>
          <cell r="I320">
            <v>1</v>
          </cell>
          <cell r="J320">
            <v>0</v>
          </cell>
        </row>
        <row r="321">
          <cell r="D321" t="str">
            <v>ЭЦ</v>
          </cell>
          <cell r="F321" t="str">
            <v>13</v>
          </cell>
          <cell r="I321">
            <v>1</v>
          </cell>
          <cell r="J321">
            <v>0</v>
          </cell>
        </row>
        <row r="322">
          <cell r="D322" t="str">
            <v>ЭЦ</v>
          </cell>
          <cell r="F322" t="str">
            <v>13</v>
          </cell>
          <cell r="I322">
            <v>0</v>
          </cell>
          <cell r="J322">
            <v>1</v>
          </cell>
        </row>
        <row r="323">
          <cell r="D323" t="str">
            <v>ПРЦЭО</v>
          </cell>
          <cell r="F323" t="str">
            <v>18</v>
          </cell>
          <cell r="I323">
            <v>1</v>
          </cell>
          <cell r="J323">
            <v>0</v>
          </cell>
        </row>
        <row r="324">
          <cell r="D324" t="str">
            <v>ПРЦЭО</v>
          </cell>
          <cell r="F324" t="str">
            <v>21</v>
          </cell>
          <cell r="I324">
            <v>1</v>
          </cell>
          <cell r="J324">
            <v>0</v>
          </cell>
        </row>
        <row r="325">
          <cell r="D325" t="str">
            <v>ПРЦЭО</v>
          </cell>
          <cell r="F325" t="str">
            <v>21</v>
          </cell>
          <cell r="I325">
            <v>1</v>
          </cell>
          <cell r="J325">
            <v>0</v>
          </cell>
        </row>
        <row r="326">
          <cell r="D326" t="str">
            <v>ПРЦЭО</v>
          </cell>
          <cell r="F326" t="str">
            <v>21</v>
          </cell>
          <cell r="I326">
            <v>1</v>
          </cell>
          <cell r="J326">
            <v>0</v>
          </cell>
        </row>
        <row r="327">
          <cell r="D327" t="str">
            <v>ПРЦЭО</v>
          </cell>
          <cell r="F327" t="str">
            <v>21</v>
          </cell>
          <cell r="I327">
            <v>1</v>
          </cell>
          <cell r="J327">
            <v>0</v>
          </cell>
        </row>
        <row r="328">
          <cell r="D328" t="str">
            <v>ПРЦЭО</v>
          </cell>
          <cell r="F328" t="str">
            <v>21</v>
          </cell>
          <cell r="I328">
            <v>1</v>
          </cell>
          <cell r="J328">
            <v>0</v>
          </cell>
        </row>
        <row r="329">
          <cell r="D329" t="str">
            <v>ПРЦЭО</v>
          </cell>
          <cell r="F329" t="str">
            <v>21</v>
          </cell>
          <cell r="I329">
            <v>1</v>
          </cell>
          <cell r="J329">
            <v>0</v>
          </cell>
        </row>
        <row r="330">
          <cell r="D330" t="str">
            <v>ПРЦЭО</v>
          </cell>
          <cell r="F330" t="str">
            <v>21</v>
          </cell>
          <cell r="I330">
            <v>1</v>
          </cell>
          <cell r="J330">
            <v>0</v>
          </cell>
        </row>
        <row r="331">
          <cell r="D331" t="str">
            <v>ПРЦЭО</v>
          </cell>
          <cell r="F331" t="str">
            <v>21</v>
          </cell>
          <cell r="I331">
            <v>1</v>
          </cell>
          <cell r="J331">
            <v>0</v>
          </cell>
        </row>
        <row r="332">
          <cell r="D332" t="str">
            <v>ПРЦЭО</v>
          </cell>
          <cell r="F332" t="str">
            <v>21</v>
          </cell>
          <cell r="I332">
            <v>1</v>
          </cell>
          <cell r="J332">
            <v>0</v>
          </cell>
        </row>
        <row r="333">
          <cell r="D333" t="str">
            <v>ПРЦЭО</v>
          </cell>
          <cell r="F333" t="str">
            <v>21</v>
          </cell>
          <cell r="I333">
            <v>1</v>
          </cell>
          <cell r="J333">
            <v>0</v>
          </cell>
        </row>
        <row r="334">
          <cell r="D334" t="str">
            <v>ПРЦЭО</v>
          </cell>
          <cell r="F334" t="str">
            <v>21</v>
          </cell>
          <cell r="I334">
            <v>1</v>
          </cell>
          <cell r="J334">
            <v>0</v>
          </cell>
        </row>
        <row r="335">
          <cell r="D335" t="str">
            <v>ПРЦЭО</v>
          </cell>
          <cell r="F335" t="str">
            <v>21</v>
          </cell>
          <cell r="I335">
            <v>1</v>
          </cell>
          <cell r="J335">
            <v>0</v>
          </cell>
        </row>
        <row r="336">
          <cell r="D336" t="str">
            <v>ПРЦЭО</v>
          </cell>
          <cell r="F336" t="str">
            <v>21</v>
          </cell>
          <cell r="I336">
            <v>1</v>
          </cell>
          <cell r="J336">
            <v>0</v>
          </cell>
        </row>
        <row r="337">
          <cell r="D337" t="str">
            <v>ПРЦЭО</v>
          </cell>
          <cell r="F337" t="str">
            <v>21</v>
          </cell>
          <cell r="I337">
            <v>1</v>
          </cell>
          <cell r="J337">
            <v>0</v>
          </cell>
        </row>
        <row r="338">
          <cell r="D338" t="str">
            <v>ПРЦЭО</v>
          </cell>
          <cell r="F338" t="str">
            <v>21</v>
          </cell>
          <cell r="I338">
            <v>1</v>
          </cell>
          <cell r="J338">
            <v>1</v>
          </cell>
        </row>
        <row r="339">
          <cell r="D339" t="str">
            <v>ПРЦЭО</v>
          </cell>
          <cell r="F339" t="str">
            <v>21</v>
          </cell>
          <cell r="I339">
            <v>1</v>
          </cell>
          <cell r="J339">
            <v>0</v>
          </cell>
        </row>
        <row r="340">
          <cell r="D340" t="str">
            <v>ПРЦЭО</v>
          </cell>
          <cell r="F340" t="str">
            <v>21</v>
          </cell>
          <cell r="I340">
            <v>1</v>
          </cell>
          <cell r="J340">
            <v>0</v>
          </cell>
        </row>
        <row r="341">
          <cell r="D341" t="str">
            <v>ПРЦЭО</v>
          </cell>
          <cell r="F341" t="str">
            <v>21</v>
          </cell>
          <cell r="I341">
            <v>1</v>
          </cell>
          <cell r="J341">
            <v>0</v>
          </cell>
        </row>
        <row r="342">
          <cell r="D342" t="str">
            <v>ПРЦЭО</v>
          </cell>
          <cell r="F342" t="str">
            <v>21</v>
          </cell>
          <cell r="I342">
            <v>1</v>
          </cell>
          <cell r="J342">
            <v>1</v>
          </cell>
        </row>
        <row r="343">
          <cell r="D343" t="str">
            <v>ПРЦЭО</v>
          </cell>
          <cell r="F343" t="str">
            <v>21</v>
          </cell>
          <cell r="I343">
            <v>1</v>
          </cell>
          <cell r="J343">
            <v>0</v>
          </cell>
        </row>
        <row r="344">
          <cell r="D344" t="str">
            <v>ПРЦЭО</v>
          </cell>
          <cell r="F344" t="str">
            <v>21</v>
          </cell>
          <cell r="I344">
            <v>1</v>
          </cell>
          <cell r="J344">
            <v>0</v>
          </cell>
        </row>
        <row r="345">
          <cell r="D345" t="str">
            <v>ПРЦЭО</v>
          </cell>
          <cell r="F345" t="str">
            <v>21</v>
          </cell>
          <cell r="I345">
            <v>1</v>
          </cell>
          <cell r="J345">
            <v>0</v>
          </cell>
        </row>
        <row r="346">
          <cell r="D346" t="str">
            <v>ПРЦЭО</v>
          </cell>
          <cell r="F346" t="str">
            <v>21</v>
          </cell>
          <cell r="I346">
            <v>1</v>
          </cell>
          <cell r="J346">
            <v>0</v>
          </cell>
        </row>
        <row r="347">
          <cell r="D347" t="str">
            <v>ПРЦЭО</v>
          </cell>
          <cell r="F347" t="str">
            <v>21</v>
          </cell>
          <cell r="I347">
            <v>1</v>
          </cell>
          <cell r="J347">
            <v>0</v>
          </cell>
        </row>
        <row r="348">
          <cell r="D348" t="str">
            <v>ПРЦЭО</v>
          </cell>
          <cell r="F348" t="str">
            <v>27</v>
          </cell>
          <cell r="I348">
            <v>1</v>
          </cell>
          <cell r="J348">
            <v>0</v>
          </cell>
        </row>
        <row r="349">
          <cell r="D349" t="str">
            <v>ПРЦЭО</v>
          </cell>
          <cell r="F349" t="str">
            <v>53</v>
          </cell>
          <cell r="I349">
            <v>1</v>
          </cell>
          <cell r="J349">
            <v>0</v>
          </cell>
        </row>
        <row r="350">
          <cell r="D350" t="str">
            <v>ПРЦЭО</v>
          </cell>
          <cell r="F350" t="str">
            <v>28</v>
          </cell>
          <cell r="I350">
            <v>1</v>
          </cell>
          <cell r="J350">
            <v>0</v>
          </cell>
        </row>
        <row r="351">
          <cell r="D351" t="str">
            <v>ПРЦЭО</v>
          </cell>
          <cell r="F351" t="str">
            <v>20</v>
          </cell>
          <cell r="I351">
            <v>1</v>
          </cell>
          <cell r="J351">
            <v>0</v>
          </cell>
        </row>
        <row r="352">
          <cell r="D352" t="str">
            <v>ПРЦЭО</v>
          </cell>
          <cell r="F352" t="str">
            <v>13</v>
          </cell>
          <cell r="I352">
            <v>1</v>
          </cell>
          <cell r="J352">
            <v>0</v>
          </cell>
        </row>
        <row r="353">
          <cell r="D353" t="str">
            <v>ПРЦЭО</v>
          </cell>
          <cell r="F353" t="str">
            <v>13</v>
          </cell>
          <cell r="I353">
            <v>1</v>
          </cell>
          <cell r="J353">
            <v>0</v>
          </cell>
        </row>
        <row r="354">
          <cell r="D354" t="str">
            <v>ПРЦЭО</v>
          </cell>
          <cell r="F354" t="str">
            <v>13</v>
          </cell>
          <cell r="I354">
            <v>1</v>
          </cell>
          <cell r="J354">
            <v>0</v>
          </cell>
        </row>
        <row r="355">
          <cell r="D355" t="str">
            <v>ПРЦЭО</v>
          </cell>
          <cell r="F355" t="str">
            <v>13</v>
          </cell>
          <cell r="I355">
            <v>1</v>
          </cell>
          <cell r="J355">
            <v>0</v>
          </cell>
        </row>
        <row r="356">
          <cell r="D356" t="str">
            <v>ПРЦЭО</v>
          </cell>
          <cell r="F356" t="str">
            <v>13</v>
          </cell>
          <cell r="I356">
            <v>1</v>
          </cell>
          <cell r="J356">
            <v>0</v>
          </cell>
        </row>
        <row r="357">
          <cell r="D357" t="str">
            <v>ПРЦЭО</v>
          </cell>
          <cell r="F357" t="str">
            <v>13</v>
          </cell>
          <cell r="I357">
            <v>1</v>
          </cell>
          <cell r="J357">
            <v>0</v>
          </cell>
        </row>
        <row r="358">
          <cell r="D358" t="str">
            <v>ПРЦЭО</v>
          </cell>
          <cell r="F358" t="str">
            <v>13</v>
          </cell>
          <cell r="I358">
            <v>1</v>
          </cell>
          <cell r="J358">
            <v>0</v>
          </cell>
        </row>
        <row r="359">
          <cell r="D359" t="str">
            <v>ПРЦЭО</v>
          </cell>
          <cell r="F359" t="str">
            <v>13</v>
          </cell>
          <cell r="I359">
            <v>1</v>
          </cell>
          <cell r="J359">
            <v>0</v>
          </cell>
        </row>
        <row r="360">
          <cell r="D360" t="str">
            <v>ПРЦЭО</v>
          </cell>
          <cell r="F360" t="str">
            <v>20</v>
          </cell>
          <cell r="I360">
            <v>1</v>
          </cell>
          <cell r="J360">
            <v>0</v>
          </cell>
        </row>
        <row r="361">
          <cell r="D361" t="str">
            <v>ПРЦЭО</v>
          </cell>
          <cell r="F361" t="str">
            <v>20</v>
          </cell>
          <cell r="I361">
            <v>1</v>
          </cell>
          <cell r="J361">
            <v>0</v>
          </cell>
        </row>
        <row r="362">
          <cell r="D362" t="str">
            <v>ПРЦЭО</v>
          </cell>
          <cell r="F362" t="str">
            <v>20</v>
          </cell>
          <cell r="I362">
            <v>1</v>
          </cell>
          <cell r="J362">
            <v>0</v>
          </cell>
        </row>
        <row r="363">
          <cell r="D363" t="str">
            <v>ПРЦЭО</v>
          </cell>
          <cell r="F363" t="str">
            <v>20</v>
          </cell>
          <cell r="I363">
            <v>1</v>
          </cell>
          <cell r="J363">
            <v>0</v>
          </cell>
        </row>
        <row r="364">
          <cell r="D364" t="str">
            <v>ПРЦЭО</v>
          </cell>
          <cell r="F364" t="str">
            <v>13</v>
          </cell>
          <cell r="I364">
            <v>1</v>
          </cell>
          <cell r="J364">
            <v>0</v>
          </cell>
        </row>
        <row r="365">
          <cell r="D365" t="str">
            <v>ПРЦЭО</v>
          </cell>
          <cell r="F365" t="str">
            <v>20</v>
          </cell>
          <cell r="I365">
            <v>1</v>
          </cell>
          <cell r="J365">
            <v>0</v>
          </cell>
        </row>
        <row r="366">
          <cell r="D366" t="str">
            <v>ОКС</v>
          </cell>
          <cell r="F366" t="str">
            <v>35.1</v>
          </cell>
          <cell r="I366">
            <v>0</v>
          </cell>
          <cell r="J366">
            <v>1</v>
          </cell>
        </row>
        <row r="367">
          <cell r="D367" t="str">
            <v>ОКС</v>
          </cell>
          <cell r="F367" t="str">
            <v>35</v>
          </cell>
          <cell r="I367">
            <v>0</v>
          </cell>
          <cell r="J367">
            <v>1</v>
          </cell>
        </row>
        <row r="368">
          <cell r="D368" t="str">
            <v>ОКС</v>
          </cell>
          <cell r="F368" t="str">
            <v>35</v>
          </cell>
          <cell r="I368">
            <v>1</v>
          </cell>
          <cell r="J368">
            <v>0</v>
          </cell>
        </row>
        <row r="369">
          <cell r="D369" t="str">
            <v>ОКС</v>
          </cell>
          <cell r="F369" t="str">
            <v>35</v>
          </cell>
          <cell r="I369">
            <v>1</v>
          </cell>
          <cell r="J369">
            <v>0</v>
          </cell>
        </row>
        <row r="370">
          <cell r="D370" t="str">
            <v>ОКС</v>
          </cell>
          <cell r="F370" t="str">
            <v>47</v>
          </cell>
          <cell r="I370">
            <v>1</v>
          </cell>
          <cell r="J370">
            <v>0</v>
          </cell>
        </row>
        <row r="371">
          <cell r="D371" t="str">
            <v>ОКС</v>
          </cell>
          <cell r="F371" t="str">
            <v>47</v>
          </cell>
          <cell r="I371">
            <v>1</v>
          </cell>
          <cell r="J371">
            <v>0</v>
          </cell>
        </row>
        <row r="372">
          <cell r="D372" t="str">
            <v>ОКС</v>
          </cell>
          <cell r="F372" t="str">
            <v>47</v>
          </cell>
          <cell r="I372">
            <v>1</v>
          </cell>
          <cell r="J372">
            <v>0</v>
          </cell>
        </row>
        <row r="373">
          <cell r="D373" t="str">
            <v>ОКС</v>
          </cell>
          <cell r="F373" t="str">
            <v>50</v>
          </cell>
          <cell r="I373">
            <v>1</v>
          </cell>
          <cell r="J373">
            <v>0</v>
          </cell>
        </row>
        <row r="374">
          <cell r="D374" t="str">
            <v>ОКС</v>
          </cell>
          <cell r="F374" t="str">
            <v>52</v>
          </cell>
          <cell r="I374">
            <v>1</v>
          </cell>
          <cell r="J374">
            <v>0</v>
          </cell>
        </row>
        <row r="375">
          <cell r="D375" t="str">
            <v>ОКС</v>
          </cell>
          <cell r="F375" t="str">
            <v>52</v>
          </cell>
          <cell r="I375">
            <v>1</v>
          </cell>
          <cell r="J375">
            <v>0</v>
          </cell>
        </row>
        <row r="376">
          <cell r="D376" t="str">
            <v>ОКС</v>
          </cell>
          <cell r="F376" t="str">
            <v>32</v>
          </cell>
          <cell r="I376">
            <v>1</v>
          </cell>
          <cell r="J376">
            <v>0</v>
          </cell>
        </row>
        <row r="377">
          <cell r="D377" t="str">
            <v>ОКС</v>
          </cell>
          <cell r="F377" t="str">
            <v>56</v>
          </cell>
          <cell r="I377">
            <v>1</v>
          </cell>
          <cell r="J377">
            <v>0</v>
          </cell>
        </row>
        <row r="378">
          <cell r="D378" t="str">
            <v>ОКС</v>
          </cell>
          <cell r="F378" t="str">
            <v>56</v>
          </cell>
          <cell r="I378">
            <v>1</v>
          </cell>
          <cell r="J378">
            <v>0</v>
          </cell>
        </row>
        <row r="379">
          <cell r="D379" t="str">
            <v>ОКС</v>
          </cell>
          <cell r="F379" t="str">
            <v>56</v>
          </cell>
          <cell r="I379">
            <v>1</v>
          </cell>
          <cell r="J379">
            <v>0</v>
          </cell>
        </row>
        <row r="380">
          <cell r="D380" t="str">
            <v>ОКС</v>
          </cell>
          <cell r="F380" t="str">
            <v>46</v>
          </cell>
          <cell r="I380">
            <v>1</v>
          </cell>
          <cell r="J380">
            <v>0</v>
          </cell>
        </row>
        <row r="381">
          <cell r="D381" t="str">
            <v>ОКС</v>
          </cell>
          <cell r="F381" t="str">
            <v>46</v>
          </cell>
          <cell r="I381">
            <v>1</v>
          </cell>
          <cell r="J381">
            <v>0</v>
          </cell>
        </row>
        <row r="382">
          <cell r="D382" t="str">
            <v>ОКС</v>
          </cell>
          <cell r="F382" t="str">
            <v>53</v>
          </cell>
          <cell r="I382">
            <v>1</v>
          </cell>
          <cell r="J382">
            <v>0</v>
          </cell>
        </row>
        <row r="383">
          <cell r="D383" t="str">
            <v>ОКС</v>
          </cell>
          <cell r="F383" t="str">
            <v>60</v>
          </cell>
          <cell r="I383">
            <v>1</v>
          </cell>
          <cell r="J383">
            <v>0</v>
          </cell>
        </row>
        <row r="384">
          <cell r="D384" t="str">
            <v>ОКС</v>
          </cell>
          <cell r="F384" t="str">
            <v>13</v>
          </cell>
          <cell r="I384">
            <v>1</v>
          </cell>
          <cell r="J384">
            <v>0</v>
          </cell>
        </row>
        <row r="385">
          <cell r="D385" t="str">
            <v>ОКС</v>
          </cell>
          <cell r="F385" t="str">
            <v>13</v>
          </cell>
          <cell r="I385">
            <v>1</v>
          </cell>
          <cell r="J385">
            <v>0</v>
          </cell>
        </row>
        <row r="386">
          <cell r="D386" t="str">
            <v>ОКС</v>
          </cell>
          <cell r="F386" t="str">
            <v>13</v>
          </cell>
          <cell r="I386">
            <v>1</v>
          </cell>
          <cell r="J386">
            <v>0</v>
          </cell>
        </row>
        <row r="387">
          <cell r="D387" t="str">
            <v>ОКС</v>
          </cell>
          <cell r="F387" t="str">
            <v>13</v>
          </cell>
          <cell r="I387">
            <v>1</v>
          </cell>
          <cell r="J387">
            <v>0</v>
          </cell>
        </row>
        <row r="388">
          <cell r="D388" t="str">
            <v>ОКС</v>
          </cell>
          <cell r="F388" t="str">
            <v>13</v>
          </cell>
          <cell r="I388">
            <v>1</v>
          </cell>
          <cell r="J388">
            <v>0</v>
          </cell>
        </row>
        <row r="389">
          <cell r="D389" t="str">
            <v>ОКС</v>
          </cell>
          <cell r="F389" t="str">
            <v>13</v>
          </cell>
          <cell r="I389">
            <v>1</v>
          </cell>
          <cell r="J389">
            <v>0</v>
          </cell>
        </row>
        <row r="390">
          <cell r="D390" t="str">
            <v>УБиПКРС-1</v>
          </cell>
          <cell r="F390" t="str">
            <v>12</v>
          </cell>
          <cell r="I390">
            <v>1</v>
          </cell>
          <cell r="J390">
            <v>0</v>
          </cell>
        </row>
        <row r="391">
          <cell r="D391" t="str">
            <v>УБиПКРС-1</v>
          </cell>
          <cell r="F391" t="str">
            <v>13</v>
          </cell>
          <cell r="I391">
            <v>0</v>
          </cell>
          <cell r="J391">
            <v>1</v>
          </cell>
        </row>
        <row r="392">
          <cell r="D392" t="str">
            <v>УБиПКРС-1</v>
          </cell>
          <cell r="F392" t="str">
            <v>13</v>
          </cell>
          <cell r="I392">
            <v>1</v>
          </cell>
          <cell r="J392">
            <v>0</v>
          </cell>
        </row>
        <row r="393">
          <cell r="D393" t="str">
            <v>УБиПКРС-1</v>
          </cell>
          <cell r="F393" t="str">
            <v>13</v>
          </cell>
          <cell r="I393">
            <v>1</v>
          </cell>
          <cell r="J393">
            <v>0</v>
          </cell>
        </row>
        <row r="394">
          <cell r="D394" t="str">
            <v>УБиПКРС-1</v>
          </cell>
          <cell r="F394" t="str">
            <v>13</v>
          </cell>
          <cell r="I394">
            <v>1</v>
          </cell>
          <cell r="J394">
            <v>0</v>
          </cell>
        </row>
        <row r="395">
          <cell r="D395" t="str">
            <v>УБиПКРС-1</v>
          </cell>
          <cell r="F395" t="str">
            <v>20</v>
          </cell>
          <cell r="I395">
            <v>1</v>
          </cell>
          <cell r="J395">
            <v>0</v>
          </cell>
        </row>
        <row r="396">
          <cell r="D396" t="str">
            <v>УБиПКРС-1</v>
          </cell>
          <cell r="F396" t="str">
            <v>20</v>
          </cell>
          <cell r="I396">
            <v>1</v>
          </cell>
          <cell r="J396">
            <v>0</v>
          </cell>
        </row>
        <row r="397">
          <cell r="D397" t="str">
            <v>УБиПКРС-1</v>
          </cell>
          <cell r="F397" t="str">
            <v>20</v>
          </cell>
          <cell r="I397">
            <v>1</v>
          </cell>
          <cell r="J397">
            <v>0</v>
          </cell>
        </row>
        <row r="398">
          <cell r="D398" t="str">
            <v>УБиПКРС-1</v>
          </cell>
          <cell r="F398" t="str">
            <v>20</v>
          </cell>
          <cell r="I398">
            <v>1</v>
          </cell>
          <cell r="J398">
            <v>0</v>
          </cell>
        </row>
        <row r="399">
          <cell r="D399" t="str">
            <v>УБиПКРС-1</v>
          </cell>
          <cell r="F399" t="str">
            <v>20</v>
          </cell>
          <cell r="I399">
            <v>1</v>
          </cell>
          <cell r="J399">
            <v>0</v>
          </cell>
        </row>
        <row r="400">
          <cell r="D400" t="str">
            <v>УБиПКРС-1</v>
          </cell>
          <cell r="F400" t="str">
            <v>20</v>
          </cell>
          <cell r="I400">
            <v>1</v>
          </cell>
          <cell r="J400">
            <v>0</v>
          </cell>
        </row>
        <row r="401">
          <cell r="D401" t="str">
            <v>УБиПКРС-1</v>
          </cell>
          <cell r="F401" t="str">
            <v>31</v>
          </cell>
          <cell r="I401">
            <v>1</v>
          </cell>
          <cell r="J401">
            <v>0</v>
          </cell>
        </row>
        <row r="402">
          <cell r="D402" t="str">
            <v>УБиПКРС-1</v>
          </cell>
          <cell r="F402" t="str">
            <v>31</v>
          </cell>
          <cell r="I402">
            <v>1</v>
          </cell>
          <cell r="J402">
            <v>0</v>
          </cell>
        </row>
        <row r="403">
          <cell r="D403" t="str">
            <v>УБиПКРС-1</v>
          </cell>
          <cell r="F403" t="str">
            <v>31</v>
          </cell>
          <cell r="I403">
            <v>1</v>
          </cell>
          <cell r="J403">
            <v>0</v>
          </cell>
        </row>
        <row r="404">
          <cell r="D404" t="str">
            <v>УБиПКРС-1</v>
          </cell>
          <cell r="F404" t="str">
            <v>31</v>
          </cell>
          <cell r="I404">
            <v>1</v>
          </cell>
          <cell r="J404">
            <v>0</v>
          </cell>
        </row>
        <row r="405">
          <cell r="D405" t="str">
            <v>УБиПКРС-1</v>
          </cell>
          <cell r="F405" t="str">
            <v>31</v>
          </cell>
          <cell r="I405">
            <v>1</v>
          </cell>
          <cell r="J405">
            <v>0</v>
          </cell>
        </row>
        <row r="406">
          <cell r="D406" t="str">
            <v>УБиПКРС-1</v>
          </cell>
          <cell r="F406" t="str">
            <v>31</v>
          </cell>
          <cell r="I406">
            <v>1</v>
          </cell>
          <cell r="J406">
            <v>0</v>
          </cell>
        </row>
        <row r="407">
          <cell r="D407" t="str">
            <v>УБиПКРС-1</v>
          </cell>
          <cell r="F407" t="str">
            <v>31</v>
          </cell>
          <cell r="I407">
            <v>0</v>
          </cell>
          <cell r="J407">
            <v>1</v>
          </cell>
        </row>
        <row r="408">
          <cell r="D408" t="str">
            <v>УБиПКРС-1</v>
          </cell>
          <cell r="F408" t="str">
            <v>31</v>
          </cell>
          <cell r="I408">
            <v>0</v>
          </cell>
          <cell r="J408">
            <v>1</v>
          </cell>
        </row>
        <row r="409">
          <cell r="D409" t="str">
            <v>УБиПКРС-1</v>
          </cell>
          <cell r="F409" t="str">
            <v>31</v>
          </cell>
          <cell r="I409">
            <v>0</v>
          </cell>
          <cell r="J409">
            <v>1</v>
          </cell>
        </row>
        <row r="410">
          <cell r="D410" t="str">
            <v>УБиПКРС-1</v>
          </cell>
          <cell r="F410" t="str">
            <v>31</v>
          </cell>
          <cell r="I410">
            <v>0</v>
          </cell>
          <cell r="J410">
            <v>1</v>
          </cell>
        </row>
        <row r="411">
          <cell r="D411" t="str">
            <v>УБиПКРС-1</v>
          </cell>
          <cell r="F411" t="str">
            <v>31</v>
          </cell>
          <cell r="I411">
            <v>0</v>
          </cell>
          <cell r="J411">
            <v>1</v>
          </cell>
        </row>
        <row r="412">
          <cell r="D412" t="str">
            <v>УБиПКРС-1</v>
          </cell>
          <cell r="F412" t="str">
            <v>31</v>
          </cell>
          <cell r="I412">
            <v>0</v>
          </cell>
          <cell r="J412">
            <v>1</v>
          </cell>
        </row>
        <row r="413">
          <cell r="D413" t="str">
            <v>УБиПКРС-1</v>
          </cell>
          <cell r="F413" t="str">
            <v>31</v>
          </cell>
          <cell r="I413">
            <v>0</v>
          </cell>
          <cell r="J413">
            <v>1</v>
          </cell>
        </row>
        <row r="414">
          <cell r="D414" t="str">
            <v>УБиПКРС-1</v>
          </cell>
          <cell r="F414" t="str">
            <v>31</v>
          </cell>
          <cell r="I414">
            <v>0</v>
          </cell>
          <cell r="J414">
            <v>1</v>
          </cell>
        </row>
        <row r="415">
          <cell r="D415" t="str">
            <v>УБиПКРС-1</v>
          </cell>
          <cell r="F415" t="str">
            <v>22</v>
          </cell>
          <cell r="I415">
            <v>1</v>
          </cell>
          <cell r="J415">
            <v>1</v>
          </cell>
        </row>
        <row r="416">
          <cell r="D416" t="str">
            <v>УБиПКРС-1</v>
          </cell>
          <cell r="F416" t="str">
            <v>22</v>
          </cell>
          <cell r="I416">
            <v>1</v>
          </cell>
          <cell r="J416">
            <v>0</v>
          </cell>
        </row>
        <row r="417">
          <cell r="D417" t="str">
            <v>УБиПКРС-1</v>
          </cell>
          <cell r="F417" t="str">
            <v>22</v>
          </cell>
          <cell r="I417">
            <v>1</v>
          </cell>
          <cell r="J417">
            <v>1</v>
          </cell>
        </row>
        <row r="418">
          <cell r="D418" t="str">
            <v>УБиПКРС-1</v>
          </cell>
          <cell r="F418" t="str">
            <v>22</v>
          </cell>
          <cell r="I418">
            <v>1</v>
          </cell>
          <cell r="J418">
            <v>0</v>
          </cell>
        </row>
        <row r="419">
          <cell r="D419" t="str">
            <v>УБиПКРС-1</v>
          </cell>
          <cell r="F419" t="str">
            <v>22</v>
          </cell>
          <cell r="I419">
            <v>0</v>
          </cell>
          <cell r="J419">
            <v>1</v>
          </cell>
        </row>
        <row r="420">
          <cell r="D420" t="str">
            <v>УБиПКРС-1</v>
          </cell>
          <cell r="F420" t="str">
            <v>22</v>
          </cell>
          <cell r="I420">
            <v>0</v>
          </cell>
          <cell r="J420">
            <v>1</v>
          </cell>
        </row>
        <row r="421">
          <cell r="D421" t="str">
            <v>УБиПКРС-1</v>
          </cell>
          <cell r="F421" t="str">
            <v>24</v>
          </cell>
          <cell r="I421">
            <v>0</v>
          </cell>
          <cell r="J421">
            <v>1</v>
          </cell>
        </row>
        <row r="422">
          <cell r="D422" t="str">
            <v>УБиПКРС-1</v>
          </cell>
          <cell r="F422" t="str">
            <v>24</v>
          </cell>
          <cell r="I422">
            <v>0</v>
          </cell>
          <cell r="J422">
            <v>1</v>
          </cell>
        </row>
        <row r="423">
          <cell r="D423" t="str">
            <v>УБиПКРС-1</v>
          </cell>
          <cell r="F423" t="str">
            <v>24</v>
          </cell>
          <cell r="I423">
            <v>1</v>
          </cell>
          <cell r="J423">
            <v>0</v>
          </cell>
        </row>
        <row r="424">
          <cell r="D424" t="str">
            <v>УБиПКРС-1</v>
          </cell>
          <cell r="F424" t="str">
            <v>24</v>
          </cell>
          <cell r="I424">
            <v>1</v>
          </cell>
          <cell r="J424">
            <v>0</v>
          </cell>
        </row>
        <row r="425">
          <cell r="D425" t="str">
            <v>УБиПКРС-1</v>
          </cell>
          <cell r="F425" t="str">
            <v>44</v>
          </cell>
          <cell r="I425">
            <v>0</v>
          </cell>
          <cell r="J425">
            <v>1</v>
          </cell>
        </row>
        <row r="426">
          <cell r="D426" t="str">
            <v>УБиПКРС-1</v>
          </cell>
          <cell r="F426" t="str">
            <v>44</v>
          </cell>
          <cell r="I426">
            <v>0</v>
          </cell>
          <cell r="J426">
            <v>1</v>
          </cell>
        </row>
        <row r="427">
          <cell r="D427" t="str">
            <v>УБиПКРС-1</v>
          </cell>
          <cell r="F427" t="str">
            <v>44</v>
          </cell>
          <cell r="I427">
            <v>1</v>
          </cell>
          <cell r="J427">
            <v>0</v>
          </cell>
        </row>
        <row r="428">
          <cell r="D428" t="str">
            <v>УБиПКРС-1</v>
          </cell>
          <cell r="F428" t="str">
            <v>44</v>
          </cell>
          <cell r="I428">
            <v>1</v>
          </cell>
          <cell r="J428">
            <v>0</v>
          </cell>
        </row>
        <row r="429">
          <cell r="D429" t="str">
            <v>УБиПКРС-1</v>
          </cell>
          <cell r="F429" t="str">
            <v>49</v>
          </cell>
          <cell r="I429">
            <v>0</v>
          </cell>
          <cell r="J429">
            <v>1</v>
          </cell>
        </row>
        <row r="430">
          <cell r="D430" t="str">
            <v>УБиПКРС-1</v>
          </cell>
          <cell r="F430" t="str">
            <v>49</v>
          </cell>
          <cell r="I430">
            <v>1</v>
          </cell>
          <cell r="J430">
            <v>1</v>
          </cell>
        </row>
        <row r="431">
          <cell r="D431" t="str">
            <v>УБиПКРС-1</v>
          </cell>
          <cell r="F431" t="str">
            <v>49</v>
          </cell>
          <cell r="I431">
            <v>1</v>
          </cell>
          <cell r="J431">
            <v>0</v>
          </cell>
        </row>
        <row r="432">
          <cell r="D432" t="str">
            <v>УБиПКРС-1</v>
          </cell>
          <cell r="F432" t="str">
            <v>13</v>
          </cell>
          <cell r="I432">
            <v>1</v>
          </cell>
          <cell r="J432">
            <v>1</v>
          </cell>
        </row>
        <row r="433">
          <cell r="D433" t="str">
            <v>УБиПКРС-1</v>
          </cell>
          <cell r="F433" t="str">
            <v>13</v>
          </cell>
          <cell r="I433">
            <v>0</v>
          </cell>
          <cell r="J433">
            <v>1</v>
          </cell>
        </row>
        <row r="434">
          <cell r="D434" t="str">
            <v>УБиПКРС-1</v>
          </cell>
          <cell r="F434" t="str">
            <v>13</v>
          </cell>
          <cell r="I434">
            <v>0</v>
          </cell>
          <cell r="J434">
            <v>1</v>
          </cell>
        </row>
        <row r="435">
          <cell r="D435" t="str">
            <v>УБиПКРС-1</v>
          </cell>
          <cell r="F435" t="str">
            <v>13</v>
          </cell>
          <cell r="I435">
            <v>1</v>
          </cell>
          <cell r="J435">
            <v>0</v>
          </cell>
        </row>
        <row r="436">
          <cell r="D436" t="str">
            <v>УБиПКРС-1</v>
          </cell>
          <cell r="F436" t="str">
            <v>13</v>
          </cell>
          <cell r="I436">
            <v>0</v>
          </cell>
          <cell r="J436">
            <v>1</v>
          </cell>
        </row>
        <row r="437">
          <cell r="D437" t="str">
            <v>УБиПКРС-1</v>
          </cell>
          <cell r="F437" t="str">
            <v>13</v>
          </cell>
          <cell r="I437">
            <v>0</v>
          </cell>
          <cell r="J437">
            <v>1</v>
          </cell>
        </row>
        <row r="438">
          <cell r="D438" t="str">
            <v>УБиПКРС-1</v>
          </cell>
          <cell r="F438" t="str">
            <v>13</v>
          </cell>
          <cell r="I438">
            <v>1</v>
          </cell>
          <cell r="J438">
            <v>0</v>
          </cell>
        </row>
        <row r="439">
          <cell r="D439" t="str">
            <v>УБиПКРС-1</v>
          </cell>
          <cell r="F439" t="str">
            <v>13</v>
          </cell>
          <cell r="I439">
            <v>1</v>
          </cell>
          <cell r="J439">
            <v>0</v>
          </cell>
        </row>
        <row r="440">
          <cell r="D440" t="str">
            <v>УБиПКРС-1</v>
          </cell>
          <cell r="F440" t="str">
            <v>13</v>
          </cell>
          <cell r="I440">
            <v>1</v>
          </cell>
          <cell r="J440">
            <v>0</v>
          </cell>
        </row>
        <row r="441">
          <cell r="D441" t="str">
            <v>УБиПКРС-1</v>
          </cell>
          <cell r="F441" t="str">
            <v>13</v>
          </cell>
          <cell r="I441">
            <v>1</v>
          </cell>
          <cell r="J441">
            <v>0</v>
          </cell>
        </row>
        <row r="442">
          <cell r="D442" t="str">
            <v>УБиПКРС-1</v>
          </cell>
          <cell r="F442" t="str">
            <v>13</v>
          </cell>
          <cell r="I442">
            <v>1</v>
          </cell>
          <cell r="J442">
            <v>0</v>
          </cell>
        </row>
        <row r="443">
          <cell r="D443" t="str">
            <v>УБиПКРС-1</v>
          </cell>
          <cell r="F443" t="str">
            <v>13</v>
          </cell>
          <cell r="I443">
            <v>1</v>
          </cell>
          <cell r="J443">
            <v>0</v>
          </cell>
        </row>
        <row r="444">
          <cell r="D444" t="str">
            <v>УБиПКРС-1</v>
          </cell>
          <cell r="F444" t="str">
            <v>13</v>
          </cell>
          <cell r="I444">
            <v>1</v>
          </cell>
          <cell r="J444">
            <v>0</v>
          </cell>
        </row>
        <row r="445">
          <cell r="D445" t="str">
            <v>УБиПКРС-1</v>
          </cell>
          <cell r="F445" t="str">
            <v>13</v>
          </cell>
          <cell r="I445">
            <v>1</v>
          </cell>
          <cell r="J445">
            <v>0</v>
          </cell>
        </row>
        <row r="446">
          <cell r="D446" t="str">
            <v>УБиПКРС-1</v>
          </cell>
          <cell r="F446" t="str">
            <v>13</v>
          </cell>
          <cell r="I446">
            <v>1</v>
          </cell>
          <cell r="J446">
            <v>0</v>
          </cell>
        </row>
        <row r="447">
          <cell r="D447" t="str">
            <v>УБиПКРС-1</v>
          </cell>
          <cell r="F447" t="str">
            <v>13</v>
          </cell>
          <cell r="I447">
            <v>0</v>
          </cell>
          <cell r="J447">
            <v>1</v>
          </cell>
        </row>
        <row r="448">
          <cell r="D448" t="str">
            <v>УБиПКРС-1</v>
          </cell>
          <cell r="F448" t="str">
            <v>13</v>
          </cell>
          <cell r="I448">
            <v>0</v>
          </cell>
          <cell r="J448">
            <v>1</v>
          </cell>
        </row>
        <row r="449">
          <cell r="D449" t="str">
            <v>УБиПКРС-1</v>
          </cell>
          <cell r="F449" t="str">
            <v>13</v>
          </cell>
          <cell r="I449">
            <v>0</v>
          </cell>
          <cell r="J449">
            <v>1</v>
          </cell>
        </row>
        <row r="450">
          <cell r="D450" t="str">
            <v>УБиПКРС-1</v>
          </cell>
          <cell r="F450" t="str">
            <v>16</v>
          </cell>
          <cell r="I450">
            <v>1</v>
          </cell>
          <cell r="J450">
            <v>0</v>
          </cell>
        </row>
        <row r="451">
          <cell r="D451" t="str">
            <v>УБиПКРС-1</v>
          </cell>
          <cell r="F451" t="str">
            <v>16</v>
          </cell>
          <cell r="I451">
            <v>1</v>
          </cell>
          <cell r="J451">
            <v>0</v>
          </cell>
        </row>
        <row r="452">
          <cell r="D452" t="str">
            <v>УБиПКРС-1</v>
          </cell>
          <cell r="F452" t="str">
            <v>16</v>
          </cell>
          <cell r="I452">
            <v>1</v>
          </cell>
          <cell r="J452">
            <v>0</v>
          </cell>
        </row>
        <row r="453">
          <cell r="D453" t="str">
            <v>УБиПКРС-1</v>
          </cell>
          <cell r="F453" t="str">
            <v>16</v>
          </cell>
          <cell r="I453">
            <v>1</v>
          </cell>
          <cell r="J453">
            <v>0</v>
          </cell>
        </row>
        <row r="454">
          <cell r="D454" t="str">
            <v>Бурение</v>
          </cell>
          <cell r="F454" t="str">
            <v>13.1</v>
          </cell>
          <cell r="I454">
            <v>1</v>
          </cell>
          <cell r="J454">
            <v>0</v>
          </cell>
        </row>
        <row r="455">
          <cell r="D455" t="str">
            <v>Бурение</v>
          </cell>
          <cell r="F455" t="str">
            <v>20</v>
          </cell>
          <cell r="I455">
            <v>1</v>
          </cell>
          <cell r="J455">
            <v>0</v>
          </cell>
        </row>
        <row r="456">
          <cell r="D456" t="str">
            <v>Бурение</v>
          </cell>
          <cell r="F456" t="str">
            <v>35</v>
          </cell>
          <cell r="I456">
            <v>0</v>
          </cell>
          <cell r="J456">
            <v>1</v>
          </cell>
        </row>
        <row r="457">
          <cell r="D457" t="str">
            <v>Бурение</v>
          </cell>
          <cell r="F457" t="str">
            <v>35</v>
          </cell>
          <cell r="I457">
            <v>1</v>
          </cell>
          <cell r="J457">
            <v>0</v>
          </cell>
        </row>
        <row r="458">
          <cell r="D458" t="str">
            <v>Бурение</v>
          </cell>
          <cell r="F458" t="str">
            <v>53</v>
          </cell>
          <cell r="I458">
            <v>1</v>
          </cell>
          <cell r="J458">
            <v>1</v>
          </cell>
        </row>
        <row r="459">
          <cell r="D459" t="str">
            <v>Бурение</v>
          </cell>
          <cell r="F459" t="str">
            <v>13</v>
          </cell>
          <cell r="I459">
            <v>1</v>
          </cell>
          <cell r="J459">
            <v>0</v>
          </cell>
        </row>
        <row r="460">
          <cell r="D460" t="str">
            <v>ЦПП</v>
          </cell>
          <cell r="F460" t="str">
            <v>13</v>
          </cell>
          <cell r="I460">
            <v>1</v>
          </cell>
          <cell r="J460">
            <v>0</v>
          </cell>
        </row>
        <row r="461">
          <cell r="D461" t="str">
            <v>ЦПП</v>
          </cell>
          <cell r="F461" t="str">
            <v>20</v>
          </cell>
          <cell r="I461">
            <v>1</v>
          </cell>
          <cell r="J461">
            <v>0</v>
          </cell>
        </row>
        <row r="462">
          <cell r="D462" t="str">
            <v>ЦПП</v>
          </cell>
          <cell r="F462" t="str">
            <v>53</v>
          </cell>
          <cell r="I462">
            <v>1</v>
          </cell>
          <cell r="J462">
            <v>0</v>
          </cell>
        </row>
        <row r="463">
          <cell r="D463" t="str">
            <v>ЦПП</v>
          </cell>
          <cell r="F463" t="str">
            <v>13</v>
          </cell>
          <cell r="I463">
            <v>0</v>
          </cell>
          <cell r="J463">
            <v>1</v>
          </cell>
        </row>
        <row r="464">
          <cell r="D464" t="str">
            <v>ЦПП</v>
          </cell>
          <cell r="F464" t="str">
            <v>13</v>
          </cell>
          <cell r="I464">
            <v>1</v>
          </cell>
          <cell r="J464">
            <v>0</v>
          </cell>
        </row>
        <row r="465">
          <cell r="D465" t="str">
            <v>ЦПП</v>
          </cell>
          <cell r="F465" t="str">
            <v>20</v>
          </cell>
          <cell r="I465">
            <v>1</v>
          </cell>
          <cell r="J465">
            <v>0</v>
          </cell>
        </row>
        <row r="466">
          <cell r="D466" t="str">
            <v>ЦПП</v>
          </cell>
          <cell r="F466" t="str">
            <v>20</v>
          </cell>
          <cell r="I466">
            <v>1</v>
          </cell>
          <cell r="J466">
            <v>0</v>
          </cell>
        </row>
        <row r="467">
          <cell r="D467" t="str">
            <v>ЦПП</v>
          </cell>
          <cell r="F467" t="str">
            <v>27</v>
          </cell>
          <cell r="I467">
            <v>1</v>
          </cell>
          <cell r="J467">
            <v>0</v>
          </cell>
        </row>
        <row r="468">
          <cell r="D468" t="str">
            <v>ЦПП</v>
          </cell>
          <cell r="F468" t="str">
            <v>13</v>
          </cell>
          <cell r="I468">
            <v>1</v>
          </cell>
          <cell r="J468">
            <v>0</v>
          </cell>
        </row>
        <row r="469">
          <cell r="D469" t="str">
            <v>ЦПП</v>
          </cell>
          <cell r="F469" t="str">
            <v>13</v>
          </cell>
          <cell r="I469">
            <v>0</v>
          </cell>
          <cell r="J469">
            <v>1</v>
          </cell>
        </row>
        <row r="470">
          <cell r="D470" t="str">
            <v>ЦПП</v>
          </cell>
          <cell r="F470" t="str">
            <v>13</v>
          </cell>
          <cell r="I470">
            <v>1</v>
          </cell>
          <cell r="J470">
            <v>0</v>
          </cell>
        </row>
        <row r="471">
          <cell r="D471" t="str">
            <v>ЦПП</v>
          </cell>
          <cell r="F471" t="str">
            <v>13</v>
          </cell>
          <cell r="I471">
            <v>1</v>
          </cell>
          <cell r="J471">
            <v>0</v>
          </cell>
        </row>
        <row r="472">
          <cell r="D472" t="str">
            <v>ЦПП</v>
          </cell>
          <cell r="F472" t="str">
            <v>13</v>
          </cell>
          <cell r="I472">
            <v>1</v>
          </cell>
          <cell r="J472">
            <v>0</v>
          </cell>
        </row>
        <row r="473">
          <cell r="D473" t="str">
            <v>ЦПП</v>
          </cell>
          <cell r="F473" t="str">
            <v>13</v>
          </cell>
          <cell r="I473">
            <v>1</v>
          </cell>
          <cell r="J473">
            <v>0</v>
          </cell>
        </row>
        <row r="474">
          <cell r="D474" t="str">
            <v>ЦПП</v>
          </cell>
          <cell r="F474" t="str">
            <v>13</v>
          </cell>
          <cell r="I474">
            <v>0</v>
          </cell>
          <cell r="J474">
            <v>1</v>
          </cell>
        </row>
        <row r="475">
          <cell r="D475" t="str">
            <v>МПГУ</v>
          </cell>
          <cell r="F475" t="str">
            <v>20</v>
          </cell>
          <cell r="I475">
            <v>1</v>
          </cell>
          <cell r="J475">
            <v>0</v>
          </cell>
        </row>
        <row r="476">
          <cell r="D476" t="str">
            <v>МПГУ</v>
          </cell>
          <cell r="F476" t="str">
            <v>20</v>
          </cell>
          <cell r="I476">
            <v>1</v>
          </cell>
          <cell r="J476">
            <v>0</v>
          </cell>
        </row>
        <row r="477">
          <cell r="D477" t="str">
            <v>МПГУ</v>
          </cell>
          <cell r="F477" t="str">
            <v>20</v>
          </cell>
          <cell r="I477">
            <v>1</v>
          </cell>
          <cell r="J477">
            <v>0</v>
          </cell>
        </row>
        <row r="478">
          <cell r="D478" t="str">
            <v>ЦАП</v>
          </cell>
          <cell r="F478" t="str">
            <v>13</v>
          </cell>
          <cell r="I478">
            <v>1</v>
          </cell>
          <cell r="J478">
            <v>0</v>
          </cell>
        </row>
        <row r="479">
          <cell r="D479" t="str">
            <v>ЦАП</v>
          </cell>
          <cell r="F479" t="str">
            <v>20</v>
          </cell>
          <cell r="I479">
            <v>1</v>
          </cell>
          <cell r="J479">
            <v>0</v>
          </cell>
        </row>
        <row r="480">
          <cell r="D480" t="str">
            <v>ЦАП</v>
          </cell>
          <cell r="F480" t="str">
            <v>13</v>
          </cell>
          <cell r="I480">
            <v>1</v>
          </cell>
          <cell r="J480">
            <v>0</v>
          </cell>
        </row>
        <row r="481">
          <cell r="D481" t="str">
            <v>ЦАП</v>
          </cell>
          <cell r="F481" t="str">
            <v>13</v>
          </cell>
          <cell r="I481">
            <v>1</v>
          </cell>
          <cell r="J481">
            <v>0</v>
          </cell>
        </row>
        <row r="482">
          <cell r="D482" t="str">
            <v>ЦАП</v>
          </cell>
          <cell r="F482" t="str">
            <v>13</v>
          </cell>
          <cell r="I482">
            <v>1</v>
          </cell>
          <cell r="J482">
            <v>0</v>
          </cell>
        </row>
        <row r="483">
          <cell r="D483" t="str">
            <v>ЦАП</v>
          </cell>
          <cell r="F483" t="str">
            <v>13</v>
          </cell>
          <cell r="I483">
            <v>1</v>
          </cell>
          <cell r="J483">
            <v>0</v>
          </cell>
        </row>
        <row r="484">
          <cell r="D484" t="str">
            <v>ЦАП</v>
          </cell>
          <cell r="F484" t="str">
            <v>13</v>
          </cell>
          <cell r="I484">
            <v>0</v>
          </cell>
          <cell r="J484">
            <v>1</v>
          </cell>
        </row>
        <row r="485">
          <cell r="D485" t="str">
            <v>ЦАП</v>
          </cell>
          <cell r="F485" t="str">
            <v>13</v>
          </cell>
          <cell r="I485">
            <v>1</v>
          </cell>
          <cell r="J485">
            <v>0</v>
          </cell>
        </row>
        <row r="486">
          <cell r="D486" t="str">
            <v>ЦАП</v>
          </cell>
          <cell r="F486" t="str">
            <v>13</v>
          </cell>
          <cell r="I486">
            <v>1</v>
          </cell>
          <cell r="J486">
            <v>0</v>
          </cell>
        </row>
        <row r="487">
          <cell r="D487" t="str">
            <v>Маркшейдер</v>
          </cell>
          <cell r="F487" t="str">
            <v>13.1</v>
          </cell>
          <cell r="I487">
            <v>1</v>
          </cell>
          <cell r="J487">
            <v>0</v>
          </cell>
        </row>
        <row r="488">
          <cell r="D488" t="str">
            <v>РСЦ</v>
          </cell>
          <cell r="F488" t="str">
            <v>13.1</v>
          </cell>
          <cell r="I488">
            <v>1</v>
          </cell>
          <cell r="J488">
            <v>0</v>
          </cell>
        </row>
        <row r="489">
          <cell r="D489" t="str">
            <v>РСЦ</v>
          </cell>
          <cell r="F489" t="str">
            <v>20</v>
          </cell>
          <cell r="I489">
            <v>1</v>
          </cell>
          <cell r="J489">
            <v>0</v>
          </cell>
        </row>
        <row r="490">
          <cell r="D490" t="str">
            <v>РСЦ</v>
          </cell>
          <cell r="F490" t="str">
            <v>27</v>
          </cell>
          <cell r="I490">
            <v>1</v>
          </cell>
          <cell r="J490">
            <v>0</v>
          </cell>
        </row>
        <row r="491">
          <cell r="D491" t="str">
            <v>РСЦ</v>
          </cell>
          <cell r="F491" t="str">
            <v>57</v>
          </cell>
          <cell r="I491">
            <v>1</v>
          </cell>
          <cell r="J491">
            <v>0</v>
          </cell>
        </row>
        <row r="492">
          <cell r="D492" t="str">
            <v>РСЦ</v>
          </cell>
          <cell r="F492" t="str">
            <v>47</v>
          </cell>
          <cell r="I492">
            <v>1</v>
          </cell>
          <cell r="J492">
            <v>0</v>
          </cell>
        </row>
        <row r="493">
          <cell r="D493" t="str">
            <v>РСЦ</v>
          </cell>
          <cell r="F493" t="str">
            <v>55</v>
          </cell>
          <cell r="I493">
            <v>1</v>
          </cell>
          <cell r="J493">
            <v>0</v>
          </cell>
        </row>
        <row r="494">
          <cell r="D494" t="str">
            <v>РСЦ</v>
          </cell>
          <cell r="F494" t="str">
            <v>13.1</v>
          </cell>
          <cell r="I494">
            <v>1</v>
          </cell>
          <cell r="J494">
            <v>0</v>
          </cell>
        </row>
        <row r="495">
          <cell r="D495" t="str">
            <v>РСЦ</v>
          </cell>
          <cell r="F495" t="str">
            <v>13</v>
          </cell>
          <cell r="I495">
            <v>1</v>
          </cell>
          <cell r="J495">
            <v>0</v>
          </cell>
        </row>
        <row r="496">
          <cell r="D496" t="str">
            <v>РСЦ</v>
          </cell>
          <cell r="F496" t="str">
            <v>13</v>
          </cell>
          <cell r="I496">
            <v>1</v>
          </cell>
          <cell r="J496">
            <v>0</v>
          </cell>
        </row>
        <row r="497">
          <cell r="D497" t="str">
            <v>РСЦ</v>
          </cell>
          <cell r="F497" t="str">
            <v>20</v>
          </cell>
          <cell r="I497">
            <v>1</v>
          </cell>
          <cell r="J497">
            <v>0</v>
          </cell>
        </row>
        <row r="498">
          <cell r="D498" t="str">
            <v>РСЦ</v>
          </cell>
          <cell r="F498" t="str">
            <v>13</v>
          </cell>
          <cell r="I498">
            <v>1</v>
          </cell>
          <cell r="J498">
            <v>0</v>
          </cell>
        </row>
        <row r="499">
          <cell r="D499" t="str">
            <v>РСЦ</v>
          </cell>
          <cell r="F499" t="str">
            <v>13</v>
          </cell>
          <cell r="I499">
            <v>1</v>
          </cell>
          <cell r="J499">
            <v>0</v>
          </cell>
        </row>
        <row r="500">
          <cell r="D500" t="str">
            <v>ЦТВС</v>
          </cell>
          <cell r="F500" t="str">
            <v>51</v>
          </cell>
          <cell r="I500">
            <v>1</v>
          </cell>
          <cell r="J500">
            <v>0</v>
          </cell>
        </row>
        <row r="501">
          <cell r="D501" t="str">
            <v>ЦТВС</v>
          </cell>
          <cell r="F501" t="str">
            <v>51</v>
          </cell>
          <cell r="I501">
            <v>1</v>
          </cell>
          <cell r="J501">
            <v>0</v>
          </cell>
        </row>
        <row r="502">
          <cell r="D502" t="str">
            <v>ЦТВС</v>
          </cell>
          <cell r="F502" t="str">
            <v>51</v>
          </cell>
          <cell r="I502">
            <v>1</v>
          </cell>
          <cell r="J502">
            <v>0</v>
          </cell>
        </row>
        <row r="503">
          <cell r="D503" t="str">
            <v>ЦТВС</v>
          </cell>
          <cell r="F503" t="str">
            <v>51</v>
          </cell>
          <cell r="I503">
            <v>0</v>
          </cell>
          <cell r="J503">
            <v>1</v>
          </cell>
        </row>
        <row r="504">
          <cell r="D504" t="str">
            <v>ЦТВС</v>
          </cell>
          <cell r="F504" t="str">
            <v>13</v>
          </cell>
          <cell r="I504">
            <v>1</v>
          </cell>
          <cell r="J504">
            <v>0</v>
          </cell>
        </row>
        <row r="505">
          <cell r="D505" t="str">
            <v>ЦТВС</v>
          </cell>
          <cell r="F505" t="str">
            <v>13</v>
          </cell>
          <cell r="I505">
            <v>1</v>
          </cell>
          <cell r="J505">
            <v>0</v>
          </cell>
        </row>
        <row r="506">
          <cell r="D506" t="str">
            <v>ЦТВС</v>
          </cell>
          <cell r="F506" t="str">
            <v>13</v>
          </cell>
          <cell r="I506">
            <v>1</v>
          </cell>
          <cell r="J506">
            <v>0</v>
          </cell>
        </row>
        <row r="507">
          <cell r="D507" t="str">
            <v>ПСО</v>
          </cell>
          <cell r="F507" t="str">
            <v>13</v>
          </cell>
          <cell r="I507">
            <v>1</v>
          </cell>
          <cell r="J507">
            <v>0</v>
          </cell>
        </row>
        <row r="508">
          <cell r="D508" t="str">
            <v>БМТС</v>
          </cell>
          <cell r="F508" t="str">
            <v>16</v>
          </cell>
          <cell r="I508">
            <v>1</v>
          </cell>
          <cell r="J508">
            <v>0</v>
          </cell>
        </row>
        <row r="509">
          <cell r="D509" t="str">
            <v>БМТС</v>
          </cell>
          <cell r="F509" t="str">
            <v>13.1</v>
          </cell>
          <cell r="I509">
            <v>1</v>
          </cell>
          <cell r="J509">
            <v>0</v>
          </cell>
        </row>
        <row r="510">
          <cell r="D510" t="str">
            <v>БМТС</v>
          </cell>
          <cell r="F510" t="str">
            <v>22</v>
          </cell>
          <cell r="I510">
            <v>1</v>
          </cell>
          <cell r="J510">
            <v>0</v>
          </cell>
        </row>
        <row r="511">
          <cell r="D511" t="str">
            <v>БМТС</v>
          </cell>
          <cell r="F511" t="str">
            <v>22</v>
          </cell>
          <cell r="I511">
            <v>1</v>
          </cell>
          <cell r="J511">
            <v>0</v>
          </cell>
        </row>
        <row r="512">
          <cell r="D512" t="str">
            <v>БМТС</v>
          </cell>
          <cell r="F512" t="str">
            <v>30</v>
          </cell>
          <cell r="I512">
            <v>1</v>
          </cell>
          <cell r="J512">
            <v>0</v>
          </cell>
        </row>
        <row r="513">
          <cell r="D513" t="str">
            <v>БМТС</v>
          </cell>
          <cell r="F513" t="str">
            <v>37</v>
          </cell>
          <cell r="I513">
            <v>1</v>
          </cell>
          <cell r="J513">
            <v>0</v>
          </cell>
        </row>
        <row r="514">
          <cell r="D514" t="str">
            <v>БМТС</v>
          </cell>
          <cell r="F514" t="str">
            <v>53</v>
          </cell>
          <cell r="I514">
            <v>1</v>
          </cell>
          <cell r="J514">
            <v>0</v>
          </cell>
        </row>
        <row r="515">
          <cell r="D515" t="str">
            <v>БМТС</v>
          </cell>
          <cell r="F515" t="str">
            <v>53</v>
          </cell>
          <cell r="I515">
            <v>1</v>
          </cell>
          <cell r="J515">
            <v>0</v>
          </cell>
        </row>
        <row r="516">
          <cell r="D516" t="str">
            <v>БМТС</v>
          </cell>
          <cell r="F516" t="str">
            <v>54</v>
          </cell>
          <cell r="I516">
            <v>1</v>
          </cell>
          <cell r="J516">
            <v>0</v>
          </cell>
        </row>
        <row r="517">
          <cell r="D517" t="str">
            <v>БМТС</v>
          </cell>
          <cell r="F517" t="str">
            <v>37</v>
          </cell>
          <cell r="I517">
            <v>1</v>
          </cell>
          <cell r="J517">
            <v>0</v>
          </cell>
        </row>
        <row r="518">
          <cell r="D518" t="str">
            <v>БМТС</v>
          </cell>
          <cell r="F518" t="str">
            <v>37</v>
          </cell>
          <cell r="I518">
            <v>1</v>
          </cell>
          <cell r="J518">
            <v>0</v>
          </cell>
        </row>
        <row r="519">
          <cell r="D519" t="str">
            <v>БМТС</v>
          </cell>
          <cell r="F519" t="str">
            <v>13</v>
          </cell>
          <cell r="I519">
            <v>1</v>
          </cell>
          <cell r="J519">
            <v>0</v>
          </cell>
        </row>
        <row r="520">
          <cell r="D520" t="str">
            <v>БМТС</v>
          </cell>
          <cell r="F520" t="str">
            <v>20</v>
          </cell>
          <cell r="I520">
            <v>1</v>
          </cell>
          <cell r="J520">
            <v>0</v>
          </cell>
        </row>
        <row r="521">
          <cell r="D521" t="str">
            <v>ДТТ-1</v>
          </cell>
          <cell r="F521" t="str">
            <v>12.1</v>
          </cell>
          <cell r="I521">
            <v>1</v>
          </cell>
          <cell r="J521">
            <v>0</v>
          </cell>
        </row>
        <row r="522">
          <cell r="D522" t="str">
            <v>ДТТ-1</v>
          </cell>
          <cell r="F522" t="str">
            <v>12.1</v>
          </cell>
          <cell r="I522">
            <v>1</v>
          </cell>
          <cell r="J522">
            <v>0</v>
          </cell>
        </row>
        <row r="523">
          <cell r="D523" t="str">
            <v>ДТТ-1</v>
          </cell>
          <cell r="F523" t="str">
            <v>13.1</v>
          </cell>
          <cell r="I523">
            <v>1</v>
          </cell>
          <cell r="J523">
            <v>0</v>
          </cell>
        </row>
        <row r="524">
          <cell r="D524" t="str">
            <v>ДТТ-1</v>
          </cell>
          <cell r="F524" t="str">
            <v>13.1</v>
          </cell>
          <cell r="I524">
            <v>1</v>
          </cell>
          <cell r="J524">
            <v>0</v>
          </cell>
        </row>
        <row r="525">
          <cell r="D525" t="str">
            <v>ДТТ-1</v>
          </cell>
          <cell r="F525" t="str">
            <v>13.1</v>
          </cell>
          <cell r="I525">
            <v>1</v>
          </cell>
          <cell r="J525">
            <v>0</v>
          </cell>
        </row>
        <row r="526">
          <cell r="D526" t="str">
            <v>ДТТ-1</v>
          </cell>
          <cell r="F526" t="str">
            <v>13.1</v>
          </cell>
          <cell r="I526">
            <v>1</v>
          </cell>
          <cell r="J526">
            <v>0</v>
          </cell>
        </row>
        <row r="527">
          <cell r="D527" t="str">
            <v>ДТТ-1</v>
          </cell>
          <cell r="F527" t="str">
            <v>13.1</v>
          </cell>
          <cell r="I527">
            <v>1</v>
          </cell>
          <cell r="J527">
            <v>0</v>
          </cell>
        </row>
        <row r="528">
          <cell r="D528" t="str">
            <v>ДТТ-1</v>
          </cell>
          <cell r="F528" t="str">
            <v>13.1</v>
          </cell>
          <cell r="I528">
            <v>1</v>
          </cell>
          <cell r="J528">
            <v>0</v>
          </cell>
        </row>
        <row r="529">
          <cell r="D529" t="str">
            <v>ДТТ-1</v>
          </cell>
          <cell r="F529" t="str">
            <v>13.1</v>
          </cell>
          <cell r="I529">
            <v>1</v>
          </cell>
          <cell r="J529">
            <v>0</v>
          </cell>
        </row>
        <row r="530">
          <cell r="D530" t="str">
            <v>ДТТ-1</v>
          </cell>
          <cell r="F530" t="str">
            <v>13.1</v>
          </cell>
          <cell r="I530">
            <v>1</v>
          </cell>
          <cell r="J530">
            <v>0</v>
          </cell>
        </row>
        <row r="531">
          <cell r="D531" t="str">
            <v>ДТТ-1</v>
          </cell>
          <cell r="F531" t="str">
            <v>13</v>
          </cell>
          <cell r="I531">
            <v>0</v>
          </cell>
          <cell r="J531">
            <v>1</v>
          </cell>
        </row>
        <row r="532">
          <cell r="D532" t="str">
            <v>ДТТ-1</v>
          </cell>
          <cell r="F532" t="str">
            <v>21</v>
          </cell>
          <cell r="I532">
            <v>1</v>
          </cell>
          <cell r="J532">
            <v>1</v>
          </cell>
        </row>
        <row r="533">
          <cell r="D533" t="str">
            <v>ДТТ-1</v>
          </cell>
          <cell r="F533" t="str">
            <v>20</v>
          </cell>
          <cell r="I533">
            <v>1</v>
          </cell>
          <cell r="J533">
            <v>0</v>
          </cell>
        </row>
        <row r="534">
          <cell r="D534" t="str">
            <v>ДТТ-1</v>
          </cell>
          <cell r="F534" t="str">
            <v>20</v>
          </cell>
          <cell r="I534">
            <v>1</v>
          </cell>
          <cell r="J534">
            <v>0</v>
          </cell>
        </row>
        <row r="535">
          <cell r="D535" t="str">
            <v>ДТТ-1</v>
          </cell>
          <cell r="F535" t="str">
            <v>20</v>
          </cell>
          <cell r="I535">
            <v>1</v>
          </cell>
          <cell r="J535">
            <v>0</v>
          </cell>
        </row>
        <row r="536">
          <cell r="D536" t="str">
            <v>ДТТ-1</v>
          </cell>
          <cell r="F536" t="str">
            <v>20</v>
          </cell>
          <cell r="I536">
            <v>1</v>
          </cell>
          <cell r="J536">
            <v>0</v>
          </cell>
        </row>
        <row r="537">
          <cell r="D537" t="str">
            <v>ДТТ-1</v>
          </cell>
          <cell r="F537" t="str">
            <v>20</v>
          </cell>
          <cell r="I537">
            <v>0</v>
          </cell>
          <cell r="J537">
            <v>1</v>
          </cell>
        </row>
        <row r="538">
          <cell r="D538" t="str">
            <v>ДТТ-1</v>
          </cell>
          <cell r="F538" t="str">
            <v>28</v>
          </cell>
          <cell r="I538">
            <v>1</v>
          </cell>
          <cell r="J538">
            <v>0</v>
          </cell>
        </row>
        <row r="539">
          <cell r="D539" t="str">
            <v>ДТТ-1</v>
          </cell>
          <cell r="F539" t="str">
            <v>54</v>
          </cell>
          <cell r="I539">
            <v>1</v>
          </cell>
          <cell r="J539">
            <v>0</v>
          </cell>
        </row>
        <row r="540">
          <cell r="D540" t="str">
            <v>УЖЭО</v>
          </cell>
          <cell r="F540" t="str">
            <v>13.1</v>
          </cell>
          <cell r="I540">
            <v>1</v>
          </cell>
          <cell r="J540">
            <v>0</v>
          </cell>
        </row>
        <row r="541">
          <cell r="D541" t="str">
            <v>УЖЭО</v>
          </cell>
          <cell r="F541" t="str">
            <v>13.1</v>
          </cell>
          <cell r="I541">
            <v>1</v>
          </cell>
          <cell r="J541">
            <v>0</v>
          </cell>
        </row>
        <row r="542">
          <cell r="D542" t="str">
            <v>Мухтар/Хамит</v>
          </cell>
          <cell r="F542" t="str">
            <v>36</v>
          </cell>
          <cell r="I542">
            <v>1</v>
          </cell>
          <cell r="J542">
            <v>1</v>
          </cell>
        </row>
        <row r="543">
          <cell r="D543" t="str">
            <v>ПРЦЭО(2)</v>
          </cell>
          <cell r="F543" t="str">
            <v>21</v>
          </cell>
          <cell r="I543">
            <v>1</v>
          </cell>
          <cell r="J543">
            <v>0</v>
          </cell>
        </row>
        <row r="544">
          <cell r="D544" t="str">
            <v>ПРЦЭО(2)</v>
          </cell>
          <cell r="F544" t="str">
            <v>21</v>
          </cell>
          <cell r="I544">
            <v>1</v>
          </cell>
          <cell r="J544">
            <v>0</v>
          </cell>
        </row>
        <row r="545">
          <cell r="D545" t="str">
            <v>ПРЦЭО(2)</v>
          </cell>
          <cell r="F545" t="str">
            <v>21</v>
          </cell>
          <cell r="I545">
            <v>1</v>
          </cell>
          <cell r="J545">
            <v>0</v>
          </cell>
        </row>
        <row r="546">
          <cell r="D546" t="str">
            <v>ПРЦЭО(2)</v>
          </cell>
          <cell r="F546" t="str">
            <v>21</v>
          </cell>
          <cell r="I546">
            <v>1</v>
          </cell>
          <cell r="J546">
            <v>0</v>
          </cell>
        </row>
        <row r="547">
          <cell r="D547" t="str">
            <v>ОБО-    СБ</v>
          </cell>
          <cell r="F547" t="str">
            <v>13.1</v>
          </cell>
          <cell r="I547">
            <v>0</v>
          </cell>
          <cell r="J547">
            <v>1</v>
          </cell>
        </row>
        <row r="548">
          <cell r="D548" t="str">
            <v>ОБО-    СБ</v>
          </cell>
          <cell r="F548" t="str">
            <v>13.1</v>
          </cell>
          <cell r="I548">
            <v>1</v>
          </cell>
          <cell r="J548">
            <v>0</v>
          </cell>
        </row>
        <row r="549">
          <cell r="D549" t="str">
            <v>БПО 2</v>
          </cell>
          <cell r="F549" t="str">
            <v>13</v>
          </cell>
          <cell r="I549">
            <v>0</v>
          </cell>
          <cell r="J549">
            <v>1</v>
          </cell>
        </row>
        <row r="550">
          <cell r="D550" t="str">
            <v>БПО 2</v>
          </cell>
          <cell r="F550" t="str">
            <v>13</v>
          </cell>
          <cell r="I550">
            <v>1</v>
          </cell>
          <cell r="J550">
            <v>0</v>
          </cell>
        </row>
        <row r="551">
          <cell r="D551" t="str">
            <v>БПО 2</v>
          </cell>
          <cell r="F551" t="str">
            <v>20</v>
          </cell>
          <cell r="I551">
            <v>1</v>
          </cell>
          <cell r="J551">
            <v>0</v>
          </cell>
        </row>
        <row r="552">
          <cell r="D552" t="str">
            <v>РМУ 2</v>
          </cell>
          <cell r="F552" t="str">
            <v>20</v>
          </cell>
          <cell r="I552">
            <v>1</v>
          </cell>
          <cell r="J552">
            <v>0</v>
          </cell>
        </row>
        <row r="553">
          <cell r="D553" t="str">
            <v>РМУ 2</v>
          </cell>
          <cell r="F553" t="str">
            <v>13.1</v>
          </cell>
          <cell r="I553">
            <v>0</v>
          </cell>
          <cell r="J553">
            <v>1</v>
          </cell>
        </row>
        <row r="554">
          <cell r="D554" t="str">
            <v>БМТС</v>
          </cell>
          <cell r="F554" t="str">
            <v>37</v>
          </cell>
          <cell r="I554">
            <v>1</v>
          </cell>
          <cell r="J554">
            <v>0</v>
          </cell>
        </row>
        <row r="555">
          <cell r="D555" t="str">
            <v>УБиПКРС-2</v>
          </cell>
          <cell r="F555" t="str">
            <v>13</v>
          </cell>
          <cell r="I555">
            <v>1</v>
          </cell>
          <cell r="J555">
            <v>0</v>
          </cell>
        </row>
        <row r="556">
          <cell r="D556" t="str">
            <v>УБиПКРС-2</v>
          </cell>
          <cell r="F556" t="str">
            <v>13</v>
          </cell>
          <cell r="I556">
            <v>1</v>
          </cell>
          <cell r="J556">
            <v>0</v>
          </cell>
        </row>
        <row r="557">
          <cell r="D557" t="str">
            <v>УБиПКРС-2</v>
          </cell>
          <cell r="F557" t="str">
            <v>13</v>
          </cell>
          <cell r="I557">
            <v>0</v>
          </cell>
          <cell r="J557">
            <v>1</v>
          </cell>
        </row>
        <row r="558">
          <cell r="D558" t="str">
            <v>УБиПКРС-2</v>
          </cell>
          <cell r="F558" t="str">
            <v>13</v>
          </cell>
          <cell r="I558">
            <v>0</v>
          </cell>
          <cell r="J558">
            <v>1</v>
          </cell>
        </row>
        <row r="559">
          <cell r="D559" t="str">
            <v>УБиПКРС-2</v>
          </cell>
          <cell r="F559" t="str">
            <v>13</v>
          </cell>
          <cell r="I559">
            <v>0</v>
          </cell>
          <cell r="J559">
            <v>1</v>
          </cell>
        </row>
        <row r="560">
          <cell r="D560" t="str">
            <v>УБиПКРС-2</v>
          </cell>
          <cell r="F560" t="str">
            <v>13</v>
          </cell>
          <cell r="I560">
            <v>0</v>
          </cell>
          <cell r="J560">
            <v>1</v>
          </cell>
        </row>
        <row r="561">
          <cell r="D561" t="str">
            <v>УБиПКРС-2</v>
          </cell>
          <cell r="F561" t="str">
            <v>13</v>
          </cell>
          <cell r="I561">
            <v>1</v>
          </cell>
          <cell r="J561">
            <v>0</v>
          </cell>
        </row>
        <row r="562">
          <cell r="D562" t="str">
            <v>УБиПКРС-2</v>
          </cell>
          <cell r="F562" t="str">
            <v>20</v>
          </cell>
          <cell r="I562">
            <v>1</v>
          </cell>
          <cell r="J562">
            <v>0</v>
          </cell>
        </row>
        <row r="563">
          <cell r="D563" t="str">
            <v>УБиПКРС-2</v>
          </cell>
          <cell r="F563" t="str">
            <v>27</v>
          </cell>
          <cell r="I563">
            <v>1</v>
          </cell>
          <cell r="J563">
            <v>0</v>
          </cell>
        </row>
        <row r="564">
          <cell r="D564" t="str">
            <v>УБиПКРС-2</v>
          </cell>
          <cell r="F564" t="str">
            <v>27</v>
          </cell>
          <cell r="I564">
            <v>0</v>
          </cell>
          <cell r="J564">
            <v>1</v>
          </cell>
        </row>
        <row r="565">
          <cell r="D565" t="str">
            <v>УБиПКРС-2</v>
          </cell>
          <cell r="F565" t="str">
            <v>28</v>
          </cell>
          <cell r="I565">
            <v>1</v>
          </cell>
          <cell r="J565">
            <v>0</v>
          </cell>
        </row>
        <row r="566">
          <cell r="D566" t="str">
            <v>УБиПКРС-2</v>
          </cell>
          <cell r="F566" t="str">
            <v>28</v>
          </cell>
          <cell r="I566">
            <v>1</v>
          </cell>
          <cell r="J566">
            <v>0</v>
          </cell>
        </row>
        <row r="567">
          <cell r="D567" t="str">
            <v>УБиПКРС-2</v>
          </cell>
          <cell r="F567" t="str">
            <v>28</v>
          </cell>
          <cell r="I567">
            <v>1</v>
          </cell>
          <cell r="J567">
            <v>0</v>
          </cell>
        </row>
        <row r="568">
          <cell r="D568" t="str">
            <v>УБиПКРС-2</v>
          </cell>
          <cell r="F568" t="str">
            <v>28</v>
          </cell>
          <cell r="I568">
            <v>0</v>
          </cell>
          <cell r="J568">
            <v>1</v>
          </cell>
        </row>
        <row r="569">
          <cell r="D569" t="str">
            <v>УБиПКРС-2</v>
          </cell>
          <cell r="F569" t="str">
            <v>28</v>
          </cell>
          <cell r="I569">
            <v>0</v>
          </cell>
          <cell r="J569">
            <v>1</v>
          </cell>
        </row>
        <row r="570">
          <cell r="D570" t="str">
            <v>УБиПКРС-2</v>
          </cell>
          <cell r="F570" t="str">
            <v>28</v>
          </cell>
          <cell r="I570">
            <v>0</v>
          </cell>
          <cell r="J570">
            <v>1</v>
          </cell>
        </row>
        <row r="571">
          <cell r="D571" t="str">
            <v>УБиПКРС-2</v>
          </cell>
          <cell r="F571" t="str">
            <v>31</v>
          </cell>
          <cell r="I571">
            <v>1</v>
          </cell>
          <cell r="J571">
            <v>0</v>
          </cell>
        </row>
        <row r="572">
          <cell r="D572" t="str">
            <v>УБиПКРС-2</v>
          </cell>
          <cell r="F572" t="str">
            <v>31</v>
          </cell>
          <cell r="I572">
            <v>1</v>
          </cell>
          <cell r="J572">
            <v>0</v>
          </cell>
        </row>
        <row r="573">
          <cell r="D573" t="str">
            <v>УБиПКРС-2</v>
          </cell>
          <cell r="F573" t="str">
            <v>31</v>
          </cell>
          <cell r="I573">
            <v>1</v>
          </cell>
          <cell r="J573">
            <v>0</v>
          </cell>
        </row>
        <row r="574">
          <cell r="D574" t="str">
            <v>УБиПКРС-2</v>
          </cell>
          <cell r="F574" t="str">
            <v>31</v>
          </cell>
          <cell r="I574">
            <v>1</v>
          </cell>
          <cell r="J574">
            <v>0</v>
          </cell>
        </row>
        <row r="575">
          <cell r="D575" t="str">
            <v>УБиПКРС-2</v>
          </cell>
          <cell r="F575" t="str">
            <v>31</v>
          </cell>
          <cell r="I575">
            <v>1</v>
          </cell>
          <cell r="J575">
            <v>0</v>
          </cell>
        </row>
        <row r="576">
          <cell r="D576" t="str">
            <v>УБиПКРС-2</v>
          </cell>
          <cell r="F576" t="str">
            <v>31</v>
          </cell>
          <cell r="I576">
            <v>0</v>
          </cell>
          <cell r="J576">
            <v>1</v>
          </cell>
        </row>
        <row r="577">
          <cell r="D577" t="str">
            <v>УБиПКРС-2</v>
          </cell>
          <cell r="F577" t="str">
            <v>31</v>
          </cell>
          <cell r="I577">
            <v>0</v>
          </cell>
          <cell r="J577">
            <v>1</v>
          </cell>
        </row>
        <row r="578">
          <cell r="D578" t="str">
            <v>УБиПКРС-2</v>
          </cell>
          <cell r="F578" t="str">
            <v>31</v>
          </cell>
          <cell r="I578">
            <v>0</v>
          </cell>
          <cell r="J578">
            <v>1</v>
          </cell>
        </row>
        <row r="579">
          <cell r="D579" t="str">
            <v>УБиПКРС-2</v>
          </cell>
          <cell r="F579" t="str">
            <v>31</v>
          </cell>
          <cell r="I579">
            <v>0</v>
          </cell>
          <cell r="J579">
            <v>1</v>
          </cell>
        </row>
        <row r="580">
          <cell r="D580" t="str">
            <v>УБиПКРС-2</v>
          </cell>
          <cell r="F580" t="str">
            <v>31</v>
          </cell>
          <cell r="I580">
            <v>0</v>
          </cell>
          <cell r="J580">
            <v>1</v>
          </cell>
        </row>
        <row r="581">
          <cell r="D581" t="str">
            <v>УБиПКРС-2</v>
          </cell>
          <cell r="F581" t="str">
            <v>34</v>
          </cell>
          <cell r="I581">
            <v>1</v>
          </cell>
          <cell r="J581">
            <v>1</v>
          </cell>
        </row>
        <row r="582">
          <cell r="D582" t="str">
            <v>УБиПКРС-2</v>
          </cell>
          <cell r="F582" t="str">
            <v>34</v>
          </cell>
          <cell r="I582">
            <v>1</v>
          </cell>
          <cell r="J582">
            <v>1</v>
          </cell>
        </row>
        <row r="583">
          <cell r="D583" t="str">
            <v>УБиПКРС-2</v>
          </cell>
          <cell r="F583" t="str">
            <v>34</v>
          </cell>
          <cell r="I583">
            <v>0</v>
          </cell>
          <cell r="J583">
            <v>1</v>
          </cell>
        </row>
        <row r="584">
          <cell r="D584" t="str">
            <v>УБиПКРС-2</v>
          </cell>
          <cell r="F584" t="str">
            <v>34</v>
          </cell>
          <cell r="I584">
            <v>1</v>
          </cell>
          <cell r="J584">
            <v>0</v>
          </cell>
        </row>
        <row r="585">
          <cell r="D585" t="str">
            <v>УБиПКРС-2</v>
          </cell>
          <cell r="F585" t="str">
            <v>34</v>
          </cell>
          <cell r="I585">
            <v>1</v>
          </cell>
          <cell r="J585">
            <v>0</v>
          </cell>
        </row>
        <row r="586">
          <cell r="D586" t="str">
            <v>УБиПКРС-2</v>
          </cell>
          <cell r="F586" t="str">
            <v>35</v>
          </cell>
          <cell r="I586">
            <v>1</v>
          </cell>
          <cell r="J586">
            <v>0</v>
          </cell>
        </row>
        <row r="587">
          <cell r="D587" t="str">
            <v>УБиПКРС-2</v>
          </cell>
          <cell r="F587" t="str">
            <v>35</v>
          </cell>
          <cell r="I587">
            <v>1</v>
          </cell>
          <cell r="J587">
            <v>0</v>
          </cell>
        </row>
        <row r="588">
          <cell r="D588" t="str">
            <v>УБиПКРС-2</v>
          </cell>
          <cell r="F588" t="str">
            <v>35</v>
          </cell>
          <cell r="I588">
            <v>1</v>
          </cell>
          <cell r="J588">
            <v>0</v>
          </cell>
        </row>
        <row r="589">
          <cell r="D589" t="str">
            <v>УБиПКРС-2</v>
          </cell>
          <cell r="F589" t="str">
            <v>35</v>
          </cell>
          <cell r="I589">
            <v>1</v>
          </cell>
          <cell r="J589">
            <v>0</v>
          </cell>
        </row>
        <row r="590">
          <cell r="D590" t="str">
            <v>УБиПКРС-2</v>
          </cell>
          <cell r="F590" t="str">
            <v>35</v>
          </cell>
          <cell r="I590">
            <v>1</v>
          </cell>
          <cell r="J590">
            <v>0</v>
          </cell>
        </row>
        <row r="591">
          <cell r="D591" t="str">
            <v>УБиПКРС-2</v>
          </cell>
          <cell r="F591" t="str">
            <v>35</v>
          </cell>
          <cell r="I591">
            <v>1</v>
          </cell>
          <cell r="J591">
            <v>0</v>
          </cell>
        </row>
        <row r="592">
          <cell r="D592" t="str">
            <v>УБиПКРС-2</v>
          </cell>
          <cell r="F592" t="str">
            <v>35</v>
          </cell>
          <cell r="I592">
            <v>0</v>
          </cell>
          <cell r="J592">
            <v>1</v>
          </cell>
        </row>
        <row r="593">
          <cell r="D593" t="str">
            <v>УБиПКРС-2</v>
          </cell>
          <cell r="F593" t="str">
            <v>35</v>
          </cell>
          <cell r="I593">
            <v>0</v>
          </cell>
          <cell r="J593">
            <v>1</v>
          </cell>
        </row>
        <row r="594">
          <cell r="D594" t="str">
            <v>УБиПКРС-2</v>
          </cell>
          <cell r="F594" t="str">
            <v>35</v>
          </cell>
          <cell r="I594">
            <v>0</v>
          </cell>
          <cell r="J594">
            <v>1</v>
          </cell>
        </row>
        <row r="595">
          <cell r="D595" t="str">
            <v>УБиПКРС-2</v>
          </cell>
          <cell r="F595" t="str">
            <v>35</v>
          </cell>
          <cell r="I595">
            <v>0</v>
          </cell>
          <cell r="J595">
            <v>1</v>
          </cell>
        </row>
        <row r="596">
          <cell r="D596" t="str">
            <v>УБиПКРС-2</v>
          </cell>
          <cell r="F596" t="str">
            <v>35</v>
          </cell>
          <cell r="I596">
            <v>0</v>
          </cell>
          <cell r="J596">
            <v>1</v>
          </cell>
        </row>
        <row r="597">
          <cell r="D597" t="str">
            <v>УБиПКРС-2</v>
          </cell>
          <cell r="F597" t="str">
            <v>44</v>
          </cell>
          <cell r="I597">
            <v>0</v>
          </cell>
          <cell r="J597">
            <v>1</v>
          </cell>
        </row>
        <row r="598">
          <cell r="D598" t="str">
            <v>УБиПКРС-2</v>
          </cell>
          <cell r="F598" t="str">
            <v>44</v>
          </cell>
          <cell r="I598">
            <v>1</v>
          </cell>
          <cell r="J598">
            <v>0</v>
          </cell>
        </row>
        <row r="599">
          <cell r="D599" t="str">
            <v>УБиПКРС-2</v>
          </cell>
          <cell r="F599" t="str">
            <v>62</v>
          </cell>
          <cell r="I599">
            <v>1</v>
          </cell>
          <cell r="J599">
            <v>1</v>
          </cell>
        </row>
        <row r="600">
          <cell r="D600" t="str">
            <v>УБиПКРС-2</v>
          </cell>
          <cell r="F600" t="str">
            <v>22</v>
          </cell>
          <cell r="I600">
            <v>0</v>
          </cell>
          <cell r="J600">
            <v>1</v>
          </cell>
        </row>
        <row r="601">
          <cell r="D601" t="str">
            <v>УБиПКРС-2</v>
          </cell>
          <cell r="F601" t="str">
            <v>22</v>
          </cell>
          <cell r="I601">
            <v>0</v>
          </cell>
          <cell r="J601">
            <v>1</v>
          </cell>
        </row>
        <row r="602">
          <cell r="D602" t="str">
            <v>УБиПКРС-2</v>
          </cell>
          <cell r="F602" t="str">
            <v>22</v>
          </cell>
          <cell r="I602">
            <v>1</v>
          </cell>
          <cell r="J602">
            <v>1</v>
          </cell>
        </row>
        <row r="603">
          <cell r="D603" t="str">
            <v>УБиПКРС-2</v>
          </cell>
          <cell r="F603" t="str">
            <v>22</v>
          </cell>
          <cell r="I603">
            <v>1</v>
          </cell>
          <cell r="J603">
            <v>0</v>
          </cell>
        </row>
        <row r="604">
          <cell r="D604" t="str">
            <v>УБиПКРС-2</v>
          </cell>
          <cell r="F604" t="str">
            <v>22</v>
          </cell>
          <cell r="I604">
            <v>1</v>
          </cell>
          <cell r="J604">
            <v>0</v>
          </cell>
        </row>
        <row r="605">
          <cell r="D605" t="str">
            <v>УБиПКРС-2</v>
          </cell>
          <cell r="F605" t="str">
            <v>49</v>
          </cell>
          <cell r="I605">
            <v>0</v>
          </cell>
          <cell r="J605">
            <v>1</v>
          </cell>
        </row>
        <row r="606">
          <cell r="D606" t="str">
            <v>УБиПКРС-2</v>
          </cell>
          <cell r="F606" t="str">
            <v>49</v>
          </cell>
          <cell r="I606">
            <v>1</v>
          </cell>
          <cell r="J606">
            <v>0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S47"/>
  <sheetViews>
    <sheetView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4" sqref="D4"/>
    </sheetView>
  </sheetViews>
  <sheetFormatPr defaultColWidth="8.7109375" defaultRowHeight="15" x14ac:dyDescent="0.25"/>
  <cols>
    <col min="1" max="1" width="8" style="4" customWidth="1"/>
    <col min="2" max="2" width="30" style="4" customWidth="1"/>
    <col min="3" max="97" width="6.42578125" style="4" customWidth="1"/>
    <col min="98" max="16384" width="8.7109375" style="4"/>
  </cols>
  <sheetData>
    <row r="1" spans="1:97" ht="15" customHeight="1" x14ac:dyDescent="0.25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1" t="s">
        <v>5</v>
      </c>
      <c r="G1" s="1"/>
      <c r="H1" s="1" t="s">
        <v>6</v>
      </c>
      <c r="I1" s="1"/>
      <c r="J1" s="1" t="s">
        <v>7</v>
      </c>
      <c r="K1" s="1"/>
      <c r="L1" s="1" t="s">
        <v>8</v>
      </c>
      <c r="M1" s="1"/>
      <c r="N1" s="1" t="s">
        <v>9</v>
      </c>
      <c r="O1" s="1"/>
      <c r="P1" s="1" t="s">
        <v>10</v>
      </c>
      <c r="Q1" s="1"/>
      <c r="R1" s="1" t="s">
        <v>11</v>
      </c>
      <c r="S1" s="1"/>
      <c r="T1" s="1" t="s">
        <v>12</v>
      </c>
      <c r="U1" s="1"/>
      <c r="V1" s="1" t="s">
        <v>13</v>
      </c>
      <c r="W1" s="1"/>
      <c r="X1" s="1" t="s">
        <v>14</v>
      </c>
      <c r="Y1" s="1"/>
      <c r="Z1" s="1" t="s">
        <v>15</v>
      </c>
      <c r="AA1" s="1"/>
      <c r="AB1" s="1" t="s">
        <v>16</v>
      </c>
      <c r="AC1" s="1"/>
      <c r="AD1" s="1" t="s">
        <v>17</v>
      </c>
      <c r="AE1" s="1"/>
      <c r="AF1" s="1" t="s">
        <v>18</v>
      </c>
      <c r="AG1" s="1"/>
      <c r="AH1" s="1" t="s">
        <v>19</v>
      </c>
      <c r="AI1" s="1"/>
      <c r="AJ1" s="3" t="s">
        <v>20</v>
      </c>
      <c r="AK1" s="3"/>
      <c r="AL1" s="3" t="s">
        <v>21</v>
      </c>
      <c r="AM1" s="3"/>
      <c r="AN1" s="3" t="s">
        <v>22</v>
      </c>
      <c r="AO1" s="3"/>
      <c r="AP1" s="3" t="s">
        <v>23</v>
      </c>
      <c r="AQ1" s="3"/>
      <c r="AR1" s="3" t="s">
        <v>24</v>
      </c>
      <c r="AS1" s="3"/>
      <c r="AT1" s="3" t="s">
        <v>25</v>
      </c>
      <c r="AU1" s="3"/>
      <c r="AV1" s="3" t="s">
        <v>26</v>
      </c>
      <c r="AW1" s="3"/>
      <c r="AX1" s="3" t="s">
        <v>27</v>
      </c>
      <c r="AY1" s="3"/>
      <c r="AZ1" s="3" t="s">
        <v>28</v>
      </c>
      <c r="BA1" s="3"/>
      <c r="BB1" s="3" t="s">
        <v>29</v>
      </c>
      <c r="BC1" s="3"/>
      <c r="BD1" s="3" t="s">
        <v>30</v>
      </c>
      <c r="BE1" s="3"/>
      <c r="BF1" s="3" t="s">
        <v>31</v>
      </c>
      <c r="BG1" s="3"/>
      <c r="BH1" s="3" t="s">
        <v>32</v>
      </c>
      <c r="BI1" s="3"/>
      <c r="BJ1" s="3" t="s">
        <v>33</v>
      </c>
      <c r="BK1" s="3"/>
      <c r="BL1" s="3" t="s">
        <v>34</v>
      </c>
      <c r="BM1" s="3"/>
      <c r="BN1" s="3" t="s">
        <v>35</v>
      </c>
      <c r="BO1" s="3"/>
      <c r="BP1" s="3" t="s">
        <v>36</v>
      </c>
      <c r="BQ1" s="3"/>
      <c r="BR1" s="3" t="s">
        <v>37</v>
      </c>
      <c r="BS1" s="3"/>
      <c r="BT1" s="3" t="s">
        <v>38</v>
      </c>
      <c r="BU1" s="3"/>
      <c r="BV1" s="3" t="s">
        <v>39</v>
      </c>
      <c r="BW1" s="3"/>
      <c r="BX1" s="3" t="s">
        <v>40</v>
      </c>
      <c r="BY1" s="3"/>
      <c r="BZ1" s="3" t="s">
        <v>41</v>
      </c>
      <c r="CA1" s="3"/>
      <c r="CB1" s="3" t="s">
        <v>42</v>
      </c>
      <c r="CC1" s="3"/>
      <c r="CD1" s="3" t="s">
        <v>43</v>
      </c>
      <c r="CE1" s="3"/>
      <c r="CF1" s="3" t="s">
        <v>44</v>
      </c>
      <c r="CG1" s="3"/>
      <c r="CH1" s="3" t="s">
        <v>45</v>
      </c>
      <c r="CI1" s="3"/>
      <c r="CJ1" s="3" t="s">
        <v>46</v>
      </c>
      <c r="CK1" s="3"/>
      <c r="CL1" s="3" t="s">
        <v>47</v>
      </c>
      <c r="CM1" s="3"/>
      <c r="CN1" s="3" t="s">
        <v>48</v>
      </c>
      <c r="CO1" s="3"/>
      <c r="CP1" s="3" t="s">
        <v>49</v>
      </c>
      <c r="CQ1" s="3"/>
      <c r="CR1" s="3" t="s">
        <v>50</v>
      </c>
      <c r="CS1" s="3"/>
    </row>
    <row r="2" spans="1:97" x14ac:dyDescent="0.25">
      <c r="A2" s="1"/>
      <c r="B2" s="1"/>
      <c r="C2" s="5"/>
      <c r="D2" s="5"/>
      <c r="E2" s="5"/>
      <c r="F2" s="6" t="s">
        <v>3</v>
      </c>
      <c r="G2" s="6" t="s">
        <v>4</v>
      </c>
      <c r="H2" s="6" t="s">
        <v>3</v>
      </c>
      <c r="I2" s="6" t="s">
        <v>4</v>
      </c>
      <c r="J2" s="6" t="s">
        <v>3</v>
      </c>
      <c r="K2" s="6" t="s">
        <v>4</v>
      </c>
      <c r="L2" s="6" t="s">
        <v>3</v>
      </c>
      <c r="M2" s="6" t="s">
        <v>4</v>
      </c>
      <c r="N2" s="6" t="s">
        <v>3</v>
      </c>
      <c r="O2" s="6" t="s">
        <v>4</v>
      </c>
      <c r="P2" s="6" t="s">
        <v>3</v>
      </c>
      <c r="Q2" s="6" t="s">
        <v>4</v>
      </c>
      <c r="R2" s="6" t="s">
        <v>3</v>
      </c>
      <c r="S2" s="6" t="s">
        <v>4</v>
      </c>
      <c r="T2" s="6" t="s">
        <v>3</v>
      </c>
      <c r="U2" s="6" t="s">
        <v>4</v>
      </c>
      <c r="V2" s="6" t="s">
        <v>3</v>
      </c>
      <c r="W2" s="6" t="s">
        <v>4</v>
      </c>
      <c r="X2" s="6" t="s">
        <v>3</v>
      </c>
      <c r="Y2" s="6" t="s">
        <v>4</v>
      </c>
      <c r="Z2" s="6" t="s">
        <v>3</v>
      </c>
      <c r="AA2" s="6" t="s">
        <v>4</v>
      </c>
      <c r="AB2" s="6" t="s">
        <v>3</v>
      </c>
      <c r="AC2" s="6" t="s">
        <v>4</v>
      </c>
      <c r="AD2" s="6" t="s">
        <v>3</v>
      </c>
      <c r="AE2" s="6" t="s">
        <v>4</v>
      </c>
      <c r="AF2" s="6" t="s">
        <v>3</v>
      </c>
      <c r="AG2" s="6" t="s">
        <v>4</v>
      </c>
      <c r="AH2" s="6" t="s">
        <v>3</v>
      </c>
      <c r="AI2" s="6" t="s">
        <v>4</v>
      </c>
      <c r="AJ2" s="7" t="s">
        <v>3</v>
      </c>
      <c r="AK2" s="7" t="s">
        <v>4</v>
      </c>
      <c r="AL2" s="7" t="s">
        <v>3</v>
      </c>
      <c r="AM2" s="7" t="s">
        <v>4</v>
      </c>
      <c r="AN2" s="7" t="s">
        <v>3</v>
      </c>
      <c r="AO2" s="7" t="s">
        <v>4</v>
      </c>
      <c r="AP2" s="7" t="s">
        <v>3</v>
      </c>
      <c r="AQ2" s="7" t="s">
        <v>4</v>
      </c>
      <c r="AR2" s="7" t="s">
        <v>3</v>
      </c>
      <c r="AS2" s="7" t="s">
        <v>4</v>
      </c>
      <c r="AT2" s="7" t="s">
        <v>3</v>
      </c>
      <c r="AU2" s="7" t="s">
        <v>4</v>
      </c>
      <c r="AV2" s="7" t="s">
        <v>3</v>
      </c>
      <c r="AW2" s="7" t="s">
        <v>4</v>
      </c>
      <c r="AX2" s="7" t="s">
        <v>3</v>
      </c>
      <c r="AY2" s="7" t="s">
        <v>4</v>
      </c>
      <c r="AZ2" s="7" t="s">
        <v>3</v>
      </c>
      <c r="BA2" s="7" t="s">
        <v>4</v>
      </c>
      <c r="BB2" s="7" t="s">
        <v>3</v>
      </c>
      <c r="BC2" s="7" t="s">
        <v>4</v>
      </c>
      <c r="BD2" s="7" t="s">
        <v>3</v>
      </c>
      <c r="BE2" s="7" t="s">
        <v>4</v>
      </c>
      <c r="BF2" s="7" t="s">
        <v>3</v>
      </c>
      <c r="BG2" s="7" t="s">
        <v>4</v>
      </c>
      <c r="BH2" s="7" t="s">
        <v>3</v>
      </c>
      <c r="BI2" s="7" t="s">
        <v>4</v>
      </c>
      <c r="BJ2" s="7" t="s">
        <v>3</v>
      </c>
      <c r="BK2" s="7" t="s">
        <v>4</v>
      </c>
      <c r="BL2" s="7" t="s">
        <v>3</v>
      </c>
      <c r="BM2" s="7" t="s">
        <v>4</v>
      </c>
      <c r="BN2" s="7" t="s">
        <v>3</v>
      </c>
      <c r="BO2" s="7" t="s">
        <v>4</v>
      </c>
      <c r="BP2" s="7" t="s">
        <v>3</v>
      </c>
      <c r="BQ2" s="7" t="s">
        <v>4</v>
      </c>
      <c r="BR2" s="7" t="s">
        <v>3</v>
      </c>
      <c r="BS2" s="7" t="s">
        <v>4</v>
      </c>
      <c r="BT2" s="7" t="s">
        <v>3</v>
      </c>
      <c r="BU2" s="7" t="s">
        <v>4</v>
      </c>
      <c r="BV2" s="7" t="s">
        <v>3</v>
      </c>
      <c r="BW2" s="7" t="s">
        <v>4</v>
      </c>
      <c r="BX2" s="7" t="s">
        <v>3</v>
      </c>
      <c r="BY2" s="7" t="s">
        <v>4</v>
      </c>
      <c r="BZ2" s="7" t="s">
        <v>3</v>
      </c>
      <c r="CA2" s="7" t="s">
        <v>4</v>
      </c>
      <c r="CB2" s="7" t="s">
        <v>3</v>
      </c>
      <c r="CC2" s="7" t="s">
        <v>4</v>
      </c>
      <c r="CD2" s="7" t="s">
        <v>3</v>
      </c>
      <c r="CE2" s="7" t="s">
        <v>4</v>
      </c>
      <c r="CF2" s="7" t="s">
        <v>3</v>
      </c>
      <c r="CG2" s="7" t="s">
        <v>4</v>
      </c>
      <c r="CH2" s="7" t="s">
        <v>3</v>
      </c>
      <c r="CI2" s="7" t="s">
        <v>4</v>
      </c>
      <c r="CJ2" s="7" t="s">
        <v>3</v>
      </c>
      <c r="CK2" s="7" t="s">
        <v>4</v>
      </c>
      <c r="CL2" s="7" t="s">
        <v>3</v>
      </c>
      <c r="CM2" s="7" t="s">
        <v>4</v>
      </c>
      <c r="CN2" s="7" t="s">
        <v>3</v>
      </c>
      <c r="CO2" s="7" t="s">
        <v>4</v>
      </c>
      <c r="CP2" s="7" t="s">
        <v>3</v>
      </c>
      <c r="CQ2" s="7" t="s">
        <v>4</v>
      </c>
      <c r="CR2" s="7" t="s">
        <v>3</v>
      </c>
      <c r="CS2" s="7" t="s">
        <v>4</v>
      </c>
    </row>
    <row r="3" spans="1:97" x14ac:dyDescent="0.25">
      <c r="A3" s="8" t="s">
        <v>51</v>
      </c>
      <c r="B3" s="9" t="s">
        <v>52</v>
      </c>
      <c r="C3" s="10">
        <f>D3+E3</f>
        <v>18</v>
      </c>
      <c r="D3" s="10">
        <f>F3+H3++J3+L3+N3+P3+R3+T3+V3+X3+Z3+AB3+AD3+AF3+AH3+AJ3+AL3+AN3+AP3+AR3+AT3+AV3+AX3+AZ3+BB3+BD3+BF3+BH3+BJ3+BL3+BN3+BP3+BR3+BT3+BV3+BX3+BZ3+CB3+CD3+CF3+CH3+CJ3+CL3+CN3+CP3+CR3</f>
        <v>14</v>
      </c>
      <c r="E3" s="10">
        <f>G3+I3++K3+M3+O3+Q3+S3+U3+W3+Y3+AA3+AC3+AE3+AG3+AI3+AK3+AM3+AO3+AQ3+AS3+AU3+AW3+AY3+BA3+BC3+BE3+BG3+BI3+BK3+BM3+BO3+BQ3+BS3+BU3+BW3+BY3+CA3+CC3+CE3+CG3+CI3+CK3+CM3+CO3+CQ3+CS3</f>
        <v>4</v>
      </c>
      <c r="F3" s="9">
        <f>SUMIFS('[1]Исходные данные'!$I$2:$I$606,'[1]Исходные данные'!$D$2:$D$606,"ЦДН-1",'[1]Исходные данные'!$F$2:$F$606,"34")</f>
        <v>3</v>
      </c>
      <c r="G3" s="9">
        <f>SUMIFS('[1]Исходные данные'!$J$2:$J$606,'[1]Исходные данные'!$D$2:$D$606,"ЦДН-1",'[1]Исходные данные'!$F$2:$F$606,"34")</f>
        <v>0</v>
      </c>
      <c r="H3" s="9">
        <f>SUMIFS('[1]Исходные данные'!$I$2:$I$606,'[1]Исходные данные'!$D$2:$D$606,"ЦДН-2",'[1]Исходные данные'!$F$2:$F$606,"34")</f>
        <v>3</v>
      </c>
      <c r="I3" s="9">
        <f>SUMIFS('[1]Исходные данные'!$J$2:$J$606,'[1]Исходные данные'!$D$2:$D$606,"ЦДН-2",'[1]Исходные данные'!$F$2:$F$606,"34")</f>
        <v>0</v>
      </c>
      <c r="J3" s="9">
        <f>SUMIFS('[1]Исходные данные'!$I$2:$I$606,'[1]Исходные данные'!$D$2:$D$606,"ЦДН-3",'[1]Исходные данные'!$F$2:$F$606,"34")</f>
        <v>4</v>
      </c>
      <c r="K3" s="9">
        <f>SUMIFS('[1]Исходные данные'!$J$2:$J$606,'[1]Исходные данные'!$D$2:$D$606,"ЦДН-3",'[1]Исходные данные'!$F$2:$F$606,"34")</f>
        <v>1</v>
      </c>
      <c r="L3" s="9">
        <f>SUMIFS('[1]Исходные данные'!$I$2:$I$606,'[1]Исходные данные'!$D$2:$D$606,"ЦППН",'[1]Исходные данные'!$F$2:$F$606,"34")</f>
        <v>0</v>
      </c>
      <c r="M3" s="9">
        <f>SUMIFS('[1]Исходные данные'!$J$2:$J$606,'[1]Исходные данные'!$D$2:$D$606,"ЦППН",'[1]Исходные данные'!$F$2:$F$606,"34")</f>
        <v>0</v>
      </c>
      <c r="N3" s="9">
        <f>SUMIFS('[1]Исходные данные'!$I$2:$I$606,'[1]Исходные данные'!$D$2:$D$606,"ЦППД",'[1]Исходные данные'!$F$2:$F$606,"34")</f>
        <v>0</v>
      </c>
      <c r="O3" s="9">
        <f>SUMIFS('[1]Исходные данные'!$J$2:$J$606,'[1]Исходные данные'!$D$2:$D$606,"ЦППД",'[1]Исходные данные'!$F$2:$F$606,"34")</f>
        <v>0</v>
      </c>
      <c r="P3" s="9">
        <f>SUMIFS('[1]Исходные данные'!$I$2:$I$606,'[1]Исходные данные'!$D$2:$D$606,"ЭЦ",'[1]Исходные данные'!$F$2:$F$606,"34")</f>
        <v>0</v>
      </c>
      <c r="Q3" s="9">
        <f>SUMIFS('[1]Исходные данные'!$J$2:$J$606,'[1]Исходные данные'!$D$2:$D$606,"ЭЦ",'[1]Исходные данные'!$F$2:$F$606,"34")</f>
        <v>0</v>
      </c>
      <c r="R3" s="9">
        <f>SUMIFS('[1]Исходные данные'!$I$2:$I$606,'[1]Исходные данные'!$D$2:$D$606,"ОКС",'[1]Исходные данные'!$F$2:$F$606,"34")</f>
        <v>0</v>
      </c>
      <c r="S3" s="9">
        <f>SUMIFS('[1]Исходные данные'!$J$2:$J$606,'[1]Исходные данные'!$D$2:$D$606,"ОКС",'[1]Исходные данные'!$F$2:$F$606,"34")</f>
        <v>0</v>
      </c>
      <c r="T3" s="9">
        <f>SUMIFS('[1]Исходные данные'!$I$2:$I$606,'[1]Исходные данные'!$D$2:$D$606,"РСЦ",'[1]Исходные данные'!$F$2:$F$606,"34")</f>
        <v>0</v>
      </c>
      <c r="U3" s="9">
        <f>SUMIFS('[1]Исходные данные'!$J$2:$J$606,'[1]Исходные данные'!$D$2:$D$606,"РСЦ",'[1]Исходные данные'!$F$2:$F$606,"34")</f>
        <v>0</v>
      </c>
      <c r="V3" s="9">
        <f>SUMIFS('[1]Исходные данные'!$I$2:$I$606,'[1]Исходные данные'!$D$2:$D$606,"ЦИТС",'[1]Исходные данные'!$F$2:$F$606,"34")</f>
        <v>0</v>
      </c>
      <c r="W3" s="9">
        <f>SUMIFS('[1]Исходные данные'!$J$2:$J$606,'[1]Исходные данные'!$D$2:$D$606,"ЦИТС",'[1]Исходные данные'!$F$2:$F$606,"34")</f>
        <v>0</v>
      </c>
      <c r="X3" s="9">
        <f>SUMIFS('[1]Исходные данные'!$I$2:$I$606,'[1]Исходные данные'!$D$2:$D$606,"ПРЦЭО",'[1]Исходные данные'!$F$2:$F$606,"34")</f>
        <v>0</v>
      </c>
      <c r="Y3" s="9">
        <f>SUMIFS('[1]Исходные данные'!$J$2:$J$606,'[1]Исходные данные'!$D$2:$D$606,"ПРЦЭО",'[1]Исходные данные'!$F$2:$F$606,"34")</f>
        <v>0</v>
      </c>
      <c r="Z3" s="9">
        <f>SUMIFS('[1]Исходные данные'!$I$2:$I$606,'[1]Исходные данные'!$D$2:$D$606,"ГЦ",'[1]Исходные данные'!$F$2:$F$606,"34")</f>
        <v>0</v>
      </c>
      <c r="AA3" s="9">
        <f>SUMIFS('[1]Исходные данные'!$J$2:$J$606,'[1]Исходные данные'!$D$2:$D$606,"ГЦ",'[1]Исходные данные'!$F$2:$F$606,"34")</f>
        <v>0</v>
      </c>
      <c r="AB3" s="9">
        <f>SUMIFS('[1]Исходные данные'!$I$2:$I$606,'[1]Исходные данные'!$D$2:$D$606,"ЦПП",'[1]Исходные данные'!$F$2:$F$606,"34")</f>
        <v>0</v>
      </c>
      <c r="AC3" s="9">
        <f>SUMIFS('[1]Исходные данные'!$J$2:$J$606,'[1]Исходные данные'!$D$2:$D$606,"ЦПП",'[1]Исходные данные'!$F$2:$F$606,"34")</f>
        <v>0</v>
      </c>
      <c r="AD3" s="9">
        <f>SUMIFS('[1]Исходные данные'!$I$2:$I$606,'[1]Исходные данные'!$D$2:$D$606,"БМТС",'[1]Исходные данные'!$F$2:$F$606,"34")</f>
        <v>0</v>
      </c>
      <c r="AE3" s="9">
        <f>SUMIFS('[1]Исходные данные'!$J$2:$J$606,'[1]Исходные данные'!$D$2:$D$606,"БМТС",'[1]Исходные данные'!$F$2:$F$606,"34")</f>
        <v>0</v>
      </c>
      <c r="AF3" s="9">
        <f>SUMIFS('[1]Исходные данные'!$I$2:$I$606,'[1]Исходные данные'!$D$2:$D$606,"УБиПКРС-1",'[1]Исходные данные'!$F$2:$F$606,"34")</f>
        <v>0</v>
      </c>
      <c r="AG3" s="9">
        <f>SUMIFS('[1]Исходные данные'!$J$2:$J$606,'[1]Исходные данные'!$D$2:$D$606,"УБиПКРС-1",'[1]Исходные данные'!$F$2:$F$606,"34")</f>
        <v>0</v>
      </c>
      <c r="AH3" s="9">
        <f>SUMIFS('[1]Исходные данные'!$I$2:$I$606,'[1]Исходные данные'!$D$2:$D$606,"УБиПКРС-2",'[1]Исходные данные'!$F$2:$F$606,"34")</f>
        <v>4</v>
      </c>
      <c r="AI3" s="9">
        <f>SUMIFS('[1]Исходные данные'!$J$2:$J$606,'[1]Исходные данные'!$D$2:$D$606,"УБиПКРС-2",'[1]Исходные данные'!$F$2:$F$606,"34")</f>
        <v>3</v>
      </c>
      <c r="AJ3" s="11">
        <f>SUMIFS('[1]Исходные данные'!$I$2:$I$606,'[1]Исходные данные'!$D$2:$D$606,"ДТТ-1",'[1]Исходные данные'!$F$2:$F$606,"34")</f>
        <v>0</v>
      </c>
      <c r="AK3" s="11">
        <f>SUMIFS('[1]Исходные данные'!$J$2:$J$606,'[1]Исходные данные'!$D$2:$D$606,"ДТТ-1",'[1]Исходные данные'!$F$2:$F$606,"34")</f>
        <v>0</v>
      </c>
      <c r="AL3" s="11">
        <f>SUMIFS('[1]Исходные данные'!$I$2:$I$606,'[1]Исходные данные'!$D$2:$D$606,"ЦНИПР",'[1]Исходные данные'!$F$2:$F$606,"34")</f>
        <v>0</v>
      </c>
      <c r="AM3" s="11">
        <f>SUMIFS('[1]Исходные данные'!$J$2:$J$606,'[1]Исходные данные'!$D$2:$D$606,"ЦНИПР",'[1]Исходные данные'!$F$2:$F$606,"34")</f>
        <v>0</v>
      </c>
      <c r="AN3" s="11">
        <f>SUMIFS('[1]Исходные данные'!$I$2:$I$606,'[1]Исходные данные'!$D$2:$D$606,"ОБиПКРС",'[1]Исходные данные'!$F$2:$F$606,"34")</f>
        <v>0</v>
      </c>
      <c r="AO3" s="11">
        <f>SUMIFS('[1]Исходные данные'!$J$2:$J$606,'[1]Исходные данные'!$D$2:$D$606,"ОБиПКРС",'[1]Исходные данные'!$F$2:$F$606,"34")</f>
        <v>0</v>
      </c>
      <c r="AP3" s="11">
        <f>SUMIFS('[1]Исходные данные'!$I$2:$I$606,'[1]Исходные данные'!$D$2:$D$606,"ЦАП",'[1]Исходные данные'!$F$2:$F$606,"34")</f>
        <v>0</v>
      </c>
      <c r="AQ3" s="11">
        <f>SUMIFS('[1]Исходные данные'!$J$2:$J$606,'[1]Исходные данные'!$D$2:$D$606,"ЦАП",'[1]Исходные данные'!$F$2:$F$606,"34")</f>
        <v>0</v>
      </c>
      <c r="AR3" s="11">
        <f>SUMIFS('[1]Исходные данные'!$I$2:$I$606,'[1]Исходные данные'!$D$2:$D$606,"ГООС",'[1]Исходные данные'!$F$2:$F$606,"34")</f>
        <v>0</v>
      </c>
      <c r="AS3" s="11">
        <f>SUMIFS('[1]Исходные данные'!$J$2:$J$606,'[1]Исходные данные'!$D$2:$D$606,"ГООС",'[1]Исходные данные'!$F$2:$F$606,"34")</f>
        <v>0</v>
      </c>
      <c r="AT3" s="11">
        <f>SUMIFS('[1]Исходные данные'!$I$2:$I$606,'[1]Исходные данные'!$D$2:$D$606,"Ақкетік",'[1]Исходные данные'!$F$2:$F$606,"34")</f>
        <v>0</v>
      </c>
      <c r="AU3" s="11">
        <f>SUMIFS('[1]Исходные данные'!$J$2:$J$606,'[1]Исходные данные'!$D$2:$D$606,"Ақкетік",'[1]Исходные данные'!$F$2:$F$606,"34")</f>
        <v>0</v>
      </c>
      <c r="AV3" s="11">
        <f>SUMIFS('[1]Исходные данные'!$I$2:$I$606,'[1]Исходные данные'!$D$2:$D$606,"Нейрон",'[1]Исходные данные'!$F$2:$F$606,"34")</f>
        <v>0</v>
      </c>
      <c r="AW3" s="11">
        <f>SUMIFS('[1]Исходные данные'!$J$2:$J$606,'[1]Исходные данные'!$D$2:$D$606,"Нейрон",'[1]Исходные данные'!$F$2:$F$606,"34")</f>
        <v>0</v>
      </c>
      <c r="AX3" s="11">
        <f>SUMIFS('[1]Исходные данные'!$I$2:$I$606,'[1]Исходные данные'!$D$2:$D$606,"Бурение",'[1]Исходные данные'!$F$2:$F$606,"34")</f>
        <v>0</v>
      </c>
      <c r="AY3" s="11">
        <f>SUMIFS('[1]Исходные данные'!$J$2:$J$606,'[1]Исходные данные'!$D$2:$D$606,"Бурение",'[1]Исходные данные'!$F$2:$F$606,"34")</f>
        <v>0</v>
      </c>
      <c r="AZ3" s="11">
        <f>SUMIFS('[1]Исходные данные'!$I$2:$I$606,'[1]Исходные данные'!$D$2:$D$606,"ЦТВС",'[1]Исходные данные'!$F$2:$F$606,"34")</f>
        <v>0</v>
      </c>
      <c r="BA3" s="11">
        <f>SUMIFS('[1]Исходные данные'!$J$2:$J$606,'[1]Исходные данные'!$D$2:$D$606,"ЦТВС",'[1]Исходные данные'!$F$2:$F$606,"34")</f>
        <v>0</v>
      </c>
      <c r="BB3" s="11">
        <f>SUMIFS('[1]Исходные данные'!$I$2:$I$606,'[1]Исходные данные'!$D$2:$D$606,"ТБ",'[1]Исходные данные'!$F$2:$F$606,"34")</f>
        <v>0</v>
      </c>
      <c r="BC3" s="11">
        <f>SUMIFS('[1]Исходные данные'!$J$2:$J$606,'[1]Исходные данные'!$D$2:$D$606,"ТБ",'[1]Исходные данные'!$F$2:$F$606,"34")</f>
        <v>0</v>
      </c>
      <c r="BD3" s="11">
        <f>SUMIFS('[1]Исходные данные'!$I$2:$I$606,'[1]Исходные данные'!$D$2:$D$606,"ОТДН",'[1]Исходные данные'!$F$2:$F$606,"34")</f>
        <v>0</v>
      </c>
      <c r="BE3" s="11">
        <f>SUMIFS('[1]Исходные данные'!$J$2:$J$606,'[1]Исходные данные'!$D$2:$D$606,"ОТДН",'[1]Исходные данные'!$F$2:$F$606,"34")</f>
        <v>0</v>
      </c>
      <c r="BF3" s="11">
        <f>SUMIFS('[1]Исходные данные'!$I$2:$I$606,'[1]Исходные данные'!$D$2:$D$606,"ПЧ-Семсер",'[1]Исходные данные'!$F$2:$F$606,"34")</f>
        <v>0</v>
      </c>
      <c r="BG3" s="11">
        <f>SUMIFS('[1]Исходные данные'!$J$2:$J$606,'[1]Исходные данные'!$D$2:$D$606,"ПЧ-Семсер",'[1]Исходные данные'!$F$2:$F$606,"34")</f>
        <v>0</v>
      </c>
      <c r="BH3" s="11">
        <f>SUMIFS('[1]Исходные данные'!$I$2:$I$606,'[1]Исходные данные'!$D$2:$D$606,"ПРЦЭО(2)",'[1]Исходные данные'!$F$2:$F$606,"34")</f>
        <v>0</v>
      </c>
      <c r="BI3" s="11">
        <f>SUMIFS('[1]Исходные данные'!$J$2:$J$606,'[1]Исходные данные'!$D$2:$D$606,"ПРЦЭО(2)",'[1]Исходные данные'!$F$2:$F$606,"34")</f>
        <v>0</v>
      </c>
      <c r="BJ3" s="11">
        <f>SUMIFS('[1]Исходные данные'!$I$2:$I$606,'[1]Исходные данные'!$D$2:$D$606,"БД",'[1]Исходные данные'!$F$2:$F$606,"34")</f>
        <v>0</v>
      </c>
      <c r="BK3" s="11">
        <f>SUMIFS('[1]Исходные данные'!$J$2:$J$606,'[1]Исходные данные'!$D$2:$D$606,"БД",'[1]Исходные данные'!$F$2:$F$606,"34")</f>
        <v>0</v>
      </c>
      <c r="BL3" s="11">
        <f>SUMIFS('[1]Исходные данные'!$I$2:$I$606,'[1]Исходные данные'!$D$2:$D$606,"ОГиР",'[1]Исходные данные'!$F$2:$F$606,"34")</f>
        <v>0</v>
      </c>
      <c r="BM3" s="11">
        <f>SUMIFS('[1]Исходные данные'!$J$2:$J$606,'[1]Исходные данные'!$D$2:$D$606,"ОГиР",'[1]Исходные данные'!$F$2:$F$606,"34")</f>
        <v>0</v>
      </c>
      <c r="BN3" s="11">
        <f>SUMIFS('[1]Исходные данные'!$I$2:$I$606,'[1]Исходные данные'!$D$2:$D$606,"ГСРиВК",'[1]Исходные данные'!$F$2:$F$606,"34")</f>
        <v>0</v>
      </c>
      <c r="BO3" s="11">
        <f>SUMIFS('[1]Исходные данные'!$J$2:$J$606,'[1]Исходные данные'!$D$2:$D$606,"ГСРиВК",'[1]Исходные данные'!$F$2:$F$606,"34")</f>
        <v>0</v>
      </c>
      <c r="BP3" s="11">
        <f>SUMIFS('[1]Исходные данные'!$I$2:$I$606,'[1]Исходные данные'!$D$2:$D$606,"МПГУ",'[1]Исходные данные'!$F$2:$F$606,"34")</f>
        <v>0</v>
      </c>
      <c r="BQ3" s="11">
        <f>SUMIFS('[1]Исходные данные'!$J$2:$J$606,'[1]Исходные данные'!$D$2:$D$606,"МПГУ",'[1]Исходные данные'!$F$2:$F$606,"34")</f>
        <v>0</v>
      </c>
      <c r="BR3" s="11">
        <f>SUMIFS('[1]Исходные данные'!$I$2:$I$606,'[1]Исходные данные'!$D$2:$D$606,"БПО 2",'[1]Исходные данные'!$F$2:$F$606,"34")</f>
        <v>0</v>
      </c>
      <c r="BS3" s="11">
        <f>SUMIFS('[1]Исходные данные'!$J$2:$J$606,'[1]Исходные данные'!$D$2:$D$606,"БПО 2",'[1]Исходные данные'!$F$2:$F$606,"34")</f>
        <v>0</v>
      </c>
      <c r="BT3" s="11">
        <f>SUMIFS('[1]Исходные данные'!$I$2:$I$606,'[1]Исходные данные'!$D$2:$D$606,"ЛД",'[1]Исходные данные'!$F$2:$F$606,"34")</f>
        <v>0</v>
      </c>
      <c r="BU3" s="11">
        <f>SUMIFS('[1]Исходные данные'!$J$2:$J$606,'[1]Исходные данные'!$D$2:$D$606,"ЛД",'[1]Исходные данные'!$F$2:$F$606,"34")</f>
        <v>0</v>
      </c>
      <c r="BV3" s="11">
        <f>SUMIFS('[1]Исходные данные'!$I$2:$I$606,'[1]Исходные данные'!$D$2:$D$606,"Отделкадр",'[1]Исходные данные'!$F$2:$F$606,"34")</f>
        <v>0</v>
      </c>
      <c r="BW3" s="11">
        <f>SUMIFS('[1]Исходные данные'!$J$2:$J$606,'[1]Исходные данные'!$D$2:$D$606,"Отделкадр",'[1]Исходные данные'!$F$2:$F$606,"34")</f>
        <v>0</v>
      </c>
      <c r="BX3" s="11">
        <f>SUMIFS('[1]Исходные данные'!$I$2:$I$606,'[1]Исходные данные'!$D$2:$D$606,"ЦИТС.",'[1]Исходные данные'!$F$2:$F$606,"34")</f>
        <v>0</v>
      </c>
      <c r="BY3" s="11">
        <f>SUMIFS('[1]Исходные данные'!$J$2:$J$606,'[1]Исходные данные'!$D$2:$D$606,"ЦИТС.",'[1]Исходные данные'!$F$2:$F$606,"34")</f>
        <v>0</v>
      </c>
      <c r="BZ3" s="11">
        <f>SUMIFS('[1]Исходные данные'!$I$2:$I$606,'[1]Исходные данные'!$D$2:$D$606,"ОБО",'[1]Исходные данные'!$F$2:$F$606,"34")</f>
        <v>0</v>
      </c>
      <c r="CA3" s="11">
        <f>SUMIFS('[1]Исходные данные'!$J$2:$J$606,'[1]Исходные данные'!$D$2:$D$606,"ОБО",'[1]Исходные данные'!$F$2:$F$606,"34")</f>
        <v>0</v>
      </c>
      <c r="CB3" s="11">
        <f>SUMIFS('[1]Исходные данные'!$I$2:$I$606,'[1]Исходные данные'!$D$2:$D$606,"УЖЭО",'[1]Исходные данные'!$F$2:$F$606,"34")</f>
        <v>0</v>
      </c>
      <c r="CC3" s="11">
        <f>SUMIFS('[1]Исходные данные'!$J$2:$J$606,'[1]Исходные данные'!$D$2:$D$606,"УЖЭО",'[1]Исходные данные'!$F$2:$F$606,"34")</f>
        <v>0</v>
      </c>
      <c r="CD3" s="11">
        <f>SUMIFS('[1]Исходные данные'!$I$2:$I$606,'[1]Исходные данные'!$D$2:$D$606,"Мухтар/Хамит",'[1]Исходные данные'!$F$2:$F$606,"34")</f>
        <v>0</v>
      </c>
      <c r="CE3" s="11">
        <f>SUMIFS('[1]Исходные данные'!$J$2:$J$606,'[1]Исходные данные'!$D$2:$D$606,"Мухтар/Хамит",'[1]Исходные данные'!$F$2:$F$606,"34")</f>
        <v>0</v>
      </c>
      <c r="CF3" s="11">
        <f>SUMIFS('[1]Исходные данные'!$I$2:$I$606,'[1]Исходные данные'!$D$2:$D$606,"ОБО-    СБ",'[1]Исходные данные'!$F$2:$F$606,"34")</f>
        <v>0</v>
      </c>
      <c r="CG3" s="11">
        <f>SUMIFS('[1]Исходные данные'!$J$2:$J$606,'[1]Исходные данные'!$D$2:$D$606,"ОБО-    СБ",'[1]Исходные данные'!$F$2:$F$606,"34")</f>
        <v>0</v>
      </c>
      <c r="CH3" s="11">
        <f>SUMIFS('[1]Исходные данные'!$I$2:$I$606,'[1]Исходные данные'!$D$2:$D$606,"РМУ 2",'[1]Исходные данные'!$F$2:$F$606,"34")</f>
        <v>0</v>
      </c>
      <c r="CI3" s="11">
        <f>SUMIFS('[1]Исходные данные'!$J$2:$J$606,'[1]Исходные данные'!$D$2:$D$606,"РМУ 2",'[1]Исходные данные'!$F$2:$F$606,"34")</f>
        <v>0</v>
      </c>
      <c r="CJ3" s="11">
        <f>SUMIFS('[1]Исходные данные'!$I$2:$I$606,'[1]Исходные данные'!$D$2:$D$606,"ГАПиИТ",'[1]Исходные данные'!$F$2:$F$606,"34")</f>
        <v>0</v>
      </c>
      <c r="CK3" s="11">
        <f>SUMIFS('[1]Исходные данные'!$J$2:$J$606,'[1]Исходные данные'!$D$2:$D$606,"ГАПиИТ",'[1]Исходные данные'!$F$2:$F$606,"34")</f>
        <v>0</v>
      </c>
      <c r="CL3" s="11">
        <f>SUMIFS('[1]Исходные данные'!$I$2:$I$606,'[1]Исходные данные'!$D$2:$D$606,"ОМ",'[1]Исходные данные'!$F$2:$F$606,"34")</f>
        <v>0</v>
      </c>
      <c r="CM3" s="11">
        <f>SUMIFS('[1]Исходные данные'!$J$2:$J$606,'[1]Исходные данные'!$D$2:$D$606,"ОМ",'[1]Исходные данные'!$F$2:$F$606,"34")</f>
        <v>0</v>
      </c>
      <c r="CN3" s="11">
        <f>SUMIFS('[1]Исходные данные'!$I$2:$I$606,'[1]Исходные данные'!$D$2:$D$606,"оппоIR",'[1]Исходные данные'!$F$2:$F$606,"34")</f>
        <v>0</v>
      </c>
      <c r="CO3" s="11">
        <f>SUMIFS('[1]Исходные данные'!$J$2:$J$606,'[1]Исходные данные'!$D$2:$D$606,"оппоIR",'[1]Исходные данные'!$F$2:$F$606,"34")</f>
        <v>0</v>
      </c>
      <c r="CP3" s="11">
        <f>SUMIFS('[1]Исходные данные'!$I$2:$I$606,'[1]Исходные данные'!$D$2:$D$606,"Маркшейдер",'[1]Исходные данные'!$F$2:$F$606,"34")</f>
        <v>0</v>
      </c>
      <c r="CQ3" s="11">
        <f>SUMIFS('[1]Исходные данные'!$J$2:$J$606,'[1]Исходные данные'!$D$2:$D$606,"Маркшейдер",'[1]Исходные данные'!$F$2:$F$606,"34")</f>
        <v>0</v>
      </c>
      <c r="CR3" s="11">
        <f>SUMIFS('[1]Исходные данные'!$I$2:$I$606,'[1]Исходные данные'!$D$2:$D$606,"ПСО",'[1]Исходные данные'!$F$2:$F$606,"34")</f>
        <v>0</v>
      </c>
      <c r="CS3" s="11">
        <f>SUMIFS('[1]Исходные данные'!$J$2:$J$606,'[1]Исходные данные'!$D$2:$D$606,"ПСО",'[1]Исходные данные'!$F$2:$F$606,"34")</f>
        <v>0</v>
      </c>
    </row>
    <row r="4" spans="1:97" x14ac:dyDescent="0.25">
      <c r="A4" s="8" t="s">
        <v>53</v>
      </c>
      <c r="B4" s="9" t="s">
        <v>54</v>
      </c>
      <c r="C4" s="10">
        <f t="shared" ref="C4:C47" si="0">D4+E4</f>
        <v>9</v>
      </c>
      <c r="D4" s="10">
        <f t="shared" ref="D4:E47" si="1">F4+H4++J4+L4+N4+P4+R4+T4+V4+X4+Z4+AB4+AD4+AF4+AH4+AJ4+AL4+AN4+AP4+AR4+AT4+AV4+AX4+AZ4+BB4+BD4+BF4+BH4+BJ4+BL4+BN4+BP4+BR4+BT4+BV4+BX4+BZ4+CB4+CD4+CF4+CH4+CJ4+CL4+CN4+CP4+CR4</f>
        <v>9</v>
      </c>
      <c r="E4" s="10">
        <f t="shared" si="1"/>
        <v>0</v>
      </c>
      <c r="F4" s="9">
        <f>SUMIFS('[1]Исходные данные'!$I$2:$I$606,'[1]Исходные данные'!$D$2:$D$606,"ЦДН-1",'[1]Исходные данные'!$F$2:$F$606,"47")</f>
        <v>1</v>
      </c>
      <c r="G4" s="9">
        <f>SUMIFS('[1]Исходные данные'!$J$2:$J$606,'[1]Исходные данные'!$D$2:$D$606,"ЦДН-1",'[1]Исходные данные'!$F$2:$F$606,"47")</f>
        <v>0</v>
      </c>
      <c r="H4" s="9">
        <f>SUMIFS('[1]Исходные данные'!$I$2:$I$606,'[1]Исходные данные'!$D$2:$D$606,"ЦДН-2",'[1]Исходные данные'!$F$2:$F$606,"47")</f>
        <v>1</v>
      </c>
      <c r="I4" s="9">
        <f>SUMIFS('[1]Исходные данные'!$J$2:$J$606,'[1]Исходные данные'!$D$2:$D$606,"ЦДН-2",'[1]Исходные данные'!$F$2:$F$606,"47")</f>
        <v>0</v>
      </c>
      <c r="J4" s="9">
        <f>SUMIFS('[1]Исходные данные'!$I$2:$I$606,'[1]Исходные данные'!$D$2:$D$606,"ЦДН-3",'[1]Исходные данные'!$F$2:$F$606,"47")</f>
        <v>2</v>
      </c>
      <c r="K4" s="9">
        <f>SUMIFS('[1]Исходные данные'!$J$2:$J$606,'[1]Исходные данные'!$D$2:$D$606,"ЦДН-3",'[1]Исходные данные'!$F$2:$F$606,"47")</f>
        <v>0</v>
      </c>
      <c r="L4" s="9">
        <f>SUMIFS('[1]Исходные данные'!$I$2:$I$606,'[1]Исходные данные'!$D$2:$D$606,"ЦППН",'[1]Исходные данные'!$F$2:$F$606,"47")</f>
        <v>0</v>
      </c>
      <c r="M4" s="9">
        <f>SUMIFS('[1]Исходные данные'!$J$2:$J$606,'[1]Исходные данные'!$D$2:$D$606,"ЦППН",'[1]Исходные данные'!$F$2:$F$606,"47")</f>
        <v>0</v>
      </c>
      <c r="N4" s="9">
        <f>SUMIFS('[1]Исходные данные'!$I$2:$I$606,'[1]Исходные данные'!$D$2:$D$606,"ЦППД",'[1]Исходные данные'!$F$2:$F$606,"47")</f>
        <v>1</v>
      </c>
      <c r="O4" s="9">
        <f>SUMIFS('[1]Исходные данные'!$J$2:$J$606,'[1]Исходные данные'!$D$2:$D$606,"ЦППД",'[1]Исходные данные'!$F$2:$F$606,"47")</f>
        <v>0</v>
      </c>
      <c r="P4" s="9">
        <f>SUMIFS('[1]Исходные данные'!$I$2:$I$606,'[1]Исходные данные'!$D$2:$D$606,"ЭЦ",'[1]Исходные данные'!$F$2:$F$606,"47")</f>
        <v>0</v>
      </c>
      <c r="Q4" s="9">
        <f>SUMIFS('[1]Исходные данные'!$J$2:$J$606,'[1]Исходные данные'!$D$2:$D$606,"ЭЦ",'[1]Исходные данные'!$F$2:$F$606,"47")</f>
        <v>0</v>
      </c>
      <c r="R4" s="9">
        <f>SUMIFS('[1]Исходные данные'!$I$2:$I$606,'[1]Исходные данные'!$D$2:$D$606,"ОКС",'[1]Исходные данные'!$F$2:$F$606,"47")</f>
        <v>3</v>
      </c>
      <c r="S4" s="9">
        <f>SUMIFS('[1]Исходные данные'!$J$2:$J$606,'[1]Исходные данные'!$D$2:$D$606,"ОКС",'[1]Исходные данные'!$F$2:$F$606,"47")</f>
        <v>0</v>
      </c>
      <c r="T4" s="9">
        <f>SUMIFS('[1]Исходные данные'!$I$2:$I$606,'[1]Исходные данные'!$D$2:$D$606,"РСЦ",'[1]Исходные данные'!$F$2:$F$606,"47")</f>
        <v>1</v>
      </c>
      <c r="U4" s="9">
        <f>SUMIFS('[1]Исходные данные'!$J$2:$J$606,'[1]Исходные данные'!$D$2:$D$606,"РСЦ",'[1]Исходные данные'!$F$2:$F$606,"47")</f>
        <v>0</v>
      </c>
      <c r="V4" s="9">
        <f>SUMIFS('[1]Исходные данные'!$I$2:$I$606,'[1]Исходные данные'!$D$2:$D$606,"ЦИТС",'[1]Исходные данные'!$F$2:$F$606,"47")</f>
        <v>0</v>
      </c>
      <c r="W4" s="9">
        <f>SUMIFS('[1]Исходные данные'!$J$2:$J$606,'[1]Исходные данные'!$D$2:$D$606,"ЦИТС",'[1]Исходные данные'!$F$2:$F$606,"47")</f>
        <v>0</v>
      </c>
      <c r="X4" s="9">
        <f>SUMIFS('[1]Исходные данные'!$I$2:$I$606,'[1]Исходные данные'!$D$2:$D$606,"ПРЦЭО",'[1]Исходные данные'!$F$2:$F$606,"47")</f>
        <v>0</v>
      </c>
      <c r="Y4" s="9">
        <f>SUMIFS('[1]Исходные данные'!$J$2:$J$606,'[1]Исходные данные'!$D$2:$D$606,"ПРЦЭО",'[1]Исходные данные'!$F$2:$F$606,"47")</f>
        <v>0</v>
      </c>
      <c r="Z4" s="9">
        <f>SUMIFS('[1]Исходные данные'!$I$2:$I$606,'[1]Исходные данные'!$D$2:$D$606,"ГЦ",'[1]Исходные данные'!$F$2:$F$606,"47")</f>
        <v>0</v>
      </c>
      <c r="AA4" s="9">
        <f>SUMIFS('[1]Исходные данные'!$J$2:$J$606,'[1]Исходные данные'!$D$2:$D$606,"ГЦ",'[1]Исходные данные'!$F$2:$F$606,"47")</f>
        <v>0</v>
      </c>
      <c r="AB4" s="9">
        <f>SUMIFS('[1]Исходные данные'!$I$2:$I$606,'[1]Исходные данные'!$D$2:$D$606,"ЦПП",'[1]Исходные данные'!$F$2:$F$606,"47")</f>
        <v>0</v>
      </c>
      <c r="AC4" s="9">
        <f>SUMIFS('[1]Исходные данные'!$J$2:$J$606,'[1]Исходные данные'!$D$2:$D$606,"ЦПП",'[1]Исходные данные'!$F$2:$F$606,"47")</f>
        <v>0</v>
      </c>
      <c r="AD4" s="9">
        <f>SUMIFS('[1]Исходные данные'!$I$2:$I$606,'[1]Исходные данные'!$D$2:$D$606,"БМТС",'[1]Исходные данные'!$F$2:$F$606,"47")</f>
        <v>0</v>
      </c>
      <c r="AE4" s="9">
        <f>SUMIFS('[1]Исходные данные'!$J$2:$J$606,'[1]Исходные данные'!$D$2:$D$606,"БМТС",'[1]Исходные данные'!$F$2:$F$606,"47")</f>
        <v>0</v>
      </c>
      <c r="AF4" s="9">
        <f>SUMIFS('[1]Исходные данные'!$I$2:$I$606,'[1]Исходные данные'!$D$2:$D$606,"УБиПКРС-1",'[1]Исходные данные'!$F$2:$F$606,"47")</f>
        <v>0</v>
      </c>
      <c r="AG4" s="9">
        <f>SUMIFS('[1]Исходные данные'!$J$2:$J$606,'[1]Исходные данные'!$D$2:$D$606,"УБиПКРС-1",'[1]Исходные данные'!$F$2:$F$606,"47")</f>
        <v>0</v>
      </c>
      <c r="AH4" s="9">
        <f>SUMIFS('[1]Исходные данные'!$I$2:$I$606,'[1]Исходные данные'!$D$2:$D$606,"УБиПКРС-2",'[1]Исходные данные'!$F$2:$F$606,"47")</f>
        <v>0</v>
      </c>
      <c r="AI4" s="9">
        <f>SUMIFS('[1]Исходные данные'!$J$2:$J$606,'[1]Исходные данные'!$D$2:$D$606,"УБиПКРС-2",'[1]Исходные данные'!$F$2:$F$606,"47")</f>
        <v>0</v>
      </c>
      <c r="AJ4" s="11">
        <f>SUMIFS('[1]Исходные данные'!$I$2:$I$606,'[1]Исходные данные'!$D$2:$D$606,"ДТТ-1",'[1]Исходные данные'!$F$2:$F$606,"47")</f>
        <v>0</v>
      </c>
      <c r="AK4" s="11">
        <f>SUMIFS('[1]Исходные данные'!$J$2:$J$606,'[1]Исходные данные'!$D$2:$D$606,"ДТТ-1",'[1]Исходные данные'!$F$2:$F$606,"47")</f>
        <v>0</v>
      </c>
      <c r="AL4" s="11">
        <f>SUMIFS('[1]Исходные данные'!$I$2:$I$606,'[1]Исходные данные'!$D$2:$D$606,"ЦНИПР",'[1]Исходные данные'!$F$2:$F$606,"47")</f>
        <v>0</v>
      </c>
      <c r="AM4" s="11">
        <f>SUMIFS('[1]Исходные данные'!$J$2:$J$606,'[1]Исходные данные'!$D$2:$D$606,"ЦНИПР",'[1]Исходные данные'!$F$2:$F$606,"47")</f>
        <v>0</v>
      </c>
      <c r="AN4" s="11">
        <f>SUMIFS('[1]Исходные данные'!$I$2:$I$606,'[1]Исходные данные'!$D$2:$D$606,"ОБиПКРС",'[1]Исходные данные'!$F$2:$F$606,"47")</f>
        <v>0</v>
      </c>
      <c r="AO4" s="11">
        <f>SUMIFS('[1]Исходные данные'!$J$2:$J$606,'[1]Исходные данные'!$D$2:$D$606,"ОБиПКРС",'[1]Исходные данные'!$F$2:$F$606,"47")</f>
        <v>0</v>
      </c>
      <c r="AP4" s="11">
        <f>SUMIFS('[1]Исходные данные'!$I$2:$I$606,'[1]Исходные данные'!$D$2:$D$606,"ЦАП",'[1]Исходные данные'!$F$2:$F$606,"47")</f>
        <v>0</v>
      </c>
      <c r="AQ4" s="11">
        <f>SUMIFS('[1]Исходные данные'!$J$2:$J$606,'[1]Исходные данные'!$D$2:$D$606,"ЦАП",'[1]Исходные данные'!$F$2:$F$606,"47")</f>
        <v>0</v>
      </c>
      <c r="AR4" s="11">
        <f>SUMIFS('[1]Исходные данные'!$I$2:$I$606,'[1]Исходные данные'!$D$2:$D$606,"ГООС",'[1]Исходные данные'!$F$2:$F$606,"47")</f>
        <v>0</v>
      </c>
      <c r="AS4" s="11">
        <f>SUMIFS('[1]Исходные данные'!$J$2:$J$606,'[1]Исходные данные'!$D$2:$D$606,"ГООС",'[1]Исходные данные'!$F$2:$F$606,"47")</f>
        <v>0</v>
      </c>
      <c r="AT4" s="11">
        <f>SUMIFS('[1]Исходные данные'!$I$2:$I$606,'[1]Исходные данные'!$D$2:$D$606,"Ақкетік",'[1]Исходные данные'!$F$2:$F$606,"47")</f>
        <v>0</v>
      </c>
      <c r="AU4" s="11">
        <f>SUMIFS('[1]Исходные данные'!$J$2:$J$606,'[1]Исходные данные'!$D$2:$D$606,"Ақкетік",'[1]Исходные данные'!$F$2:$F$606,"47")</f>
        <v>0</v>
      </c>
      <c r="AV4" s="11">
        <f>SUMIFS('[1]Исходные данные'!$I$2:$I$606,'[1]Исходные данные'!$D$2:$D$606,"Нейрон",'[1]Исходные данные'!$F$2:$F$606,"47")</f>
        <v>0</v>
      </c>
      <c r="AW4" s="11">
        <f>SUMIFS('[1]Исходные данные'!$J$2:$J$606,'[1]Исходные данные'!$D$2:$D$606,"Нейрон",'[1]Исходные данные'!$F$2:$F$606,"47")</f>
        <v>0</v>
      </c>
      <c r="AX4" s="11">
        <f>SUMIFS('[1]Исходные данные'!$I$2:$I$606,'[1]Исходные данные'!$D$2:$D$606,"Бурение",'[1]Исходные данные'!$F$2:$F$606,"47")</f>
        <v>0</v>
      </c>
      <c r="AY4" s="11">
        <f>SUMIFS('[1]Исходные данные'!$J$2:$J$606,'[1]Исходные данные'!$D$2:$D$606,"Бурение",'[1]Исходные данные'!$F$2:$F$606,"47")</f>
        <v>0</v>
      </c>
      <c r="AZ4" s="11">
        <f>SUMIFS('[1]Исходные данные'!$I$2:$I$606,'[1]Исходные данные'!$D$2:$D$606,"ЦТВС",'[1]Исходные данные'!$F$2:$F$606,"47")</f>
        <v>0</v>
      </c>
      <c r="BA4" s="11">
        <f>SUMIFS('[1]Исходные данные'!$J$2:$J$606,'[1]Исходные данные'!$D$2:$D$606,"ЦТВС",'[1]Исходные данные'!$F$2:$F$606,"47")</f>
        <v>0</v>
      </c>
      <c r="BB4" s="11">
        <f>SUMIFS('[1]Исходные данные'!$I$2:$I$606,'[1]Исходные данные'!$D$2:$D$606,"ТБ",'[1]Исходные данные'!$F$2:$F$606,"47")</f>
        <v>0</v>
      </c>
      <c r="BC4" s="11">
        <f>SUMIFS('[1]Исходные данные'!$J$2:$J$606,'[1]Исходные данные'!$D$2:$D$606,"ТБ",'[1]Исходные данные'!$F$2:$F$606,"47")</f>
        <v>0</v>
      </c>
      <c r="BD4" s="11">
        <f>SUMIFS('[1]Исходные данные'!$I$2:$I$606,'[1]Исходные данные'!$D$2:$D$606,"ОТДН",'[1]Исходные данные'!$F$2:$F$606,"47")</f>
        <v>0</v>
      </c>
      <c r="BE4" s="11">
        <f>SUMIFS('[1]Исходные данные'!$J$2:$J$606,'[1]Исходные данные'!$D$2:$D$606,"ОТДН",'[1]Исходные данные'!$F$2:$F$606,"47")</f>
        <v>0</v>
      </c>
      <c r="BF4" s="11">
        <f>SUMIFS('[1]Исходные данные'!$I$2:$I$606,'[1]Исходные данные'!$D$2:$D$606,"ПЧ-Семсер",'[1]Исходные данные'!$F$2:$F$606,"47")</f>
        <v>0</v>
      </c>
      <c r="BG4" s="11">
        <f>SUMIFS('[1]Исходные данные'!$J$2:$J$606,'[1]Исходные данные'!$D$2:$D$606,"ПЧ-Семсер",'[1]Исходные данные'!$F$2:$F$606,"47")</f>
        <v>0</v>
      </c>
      <c r="BH4" s="11">
        <f>SUMIFS('[1]Исходные данные'!$I$2:$I$606,'[1]Исходные данные'!$D$2:$D$606,"ПРЦЭО(2)",'[1]Исходные данные'!$F$2:$F$606,"47")</f>
        <v>0</v>
      </c>
      <c r="BI4" s="11">
        <f>SUMIFS('[1]Исходные данные'!$J$2:$J$606,'[1]Исходные данные'!$D$2:$D$606,"ПРЦЭО(2)",'[1]Исходные данные'!$F$2:$F$606,"47")</f>
        <v>0</v>
      </c>
      <c r="BJ4" s="11">
        <f>SUMIFS('[1]Исходные данные'!$I$2:$I$606,'[1]Исходные данные'!$D$2:$D$606,"БД",'[1]Исходные данные'!$F$2:$F$606,"47")</f>
        <v>0</v>
      </c>
      <c r="BK4" s="11">
        <f>SUMIFS('[1]Исходные данные'!$J$2:$J$606,'[1]Исходные данные'!$D$2:$D$606,"БД",'[1]Исходные данные'!$F$2:$F$606,"47")</f>
        <v>0</v>
      </c>
      <c r="BL4" s="11">
        <f>SUMIFS('[1]Исходные данные'!$I$2:$I$606,'[1]Исходные данные'!$D$2:$D$606,"ОГиР",'[1]Исходные данные'!$F$2:$F$606,"47")</f>
        <v>0</v>
      </c>
      <c r="BM4" s="11">
        <f>SUMIFS('[1]Исходные данные'!$J$2:$J$606,'[1]Исходные данные'!$D$2:$D$606,"ОГиР",'[1]Исходные данные'!$F$2:$F$606,"47")</f>
        <v>0</v>
      </c>
      <c r="BN4" s="11">
        <f>SUMIFS('[1]Исходные данные'!$I$2:$I$606,'[1]Исходные данные'!$D$2:$D$606,"ГСРиВК",'[1]Исходные данные'!$F$2:$F$606,"47")</f>
        <v>0</v>
      </c>
      <c r="BO4" s="11">
        <f>SUMIFS('[1]Исходные данные'!$J$2:$J$606,'[1]Исходные данные'!$D$2:$D$606,"ГСРиВК",'[1]Исходные данные'!$F$2:$F$606,"47")</f>
        <v>0</v>
      </c>
      <c r="BP4" s="11">
        <f>SUMIFS('[1]Исходные данные'!$I$2:$I$606,'[1]Исходные данные'!$D$2:$D$606,"МПГУ",'[1]Исходные данные'!$F$2:$F$606,"47")</f>
        <v>0</v>
      </c>
      <c r="BQ4" s="11">
        <f>SUMIFS('[1]Исходные данные'!$J$2:$J$606,'[1]Исходные данные'!$D$2:$D$606,"МПГУ",'[1]Исходные данные'!$F$2:$F$606,"47")</f>
        <v>0</v>
      </c>
      <c r="BR4" s="11">
        <f>SUMIFS('[1]Исходные данные'!$I$2:$I$606,'[1]Исходные данные'!$D$2:$D$606,"БПО 2",'[1]Исходные данные'!$F$2:$F$606,"47")</f>
        <v>0</v>
      </c>
      <c r="BS4" s="11">
        <f>SUMIFS('[1]Исходные данные'!$J$2:$J$606,'[1]Исходные данные'!$D$2:$D$606,"БПО 2",'[1]Исходные данные'!$F$2:$F$606,"47")</f>
        <v>0</v>
      </c>
      <c r="BT4" s="11">
        <f>SUMIFS('[1]Исходные данные'!$I$2:$I$606,'[1]Исходные данные'!$D$2:$D$606,"ЛД",'[1]Исходные данные'!$F$2:$F$606,"47")</f>
        <v>0</v>
      </c>
      <c r="BU4" s="11">
        <f>SUMIFS('[1]Исходные данные'!$J$2:$J$606,'[1]Исходные данные'!$D$2:$D$606,"ЛД",'[1]Исходные данные'!$F$2:$F$606,"47")</f>
        <v>0</v>
      </c>
      <c r="BV4" s="11">
        <f>SUMIFS('[1]Исходные данные'!$I$2:$I$606,'[1]Исходные данные'!$D$2:$D$606,"Отделкадр",'[1]Исходные данные'!$F$2:$F$606,"47")</f>
        <v>0</v>
      </c>
      <c r="BW4" s="11">
        <f>SUMIFS('[1]Исходные данные'!$J$2:$J$606,'[1]Исходные данные'!$D$2:$D$606,"Отделкадр",'[1]Исходные данные'!$F$2:$F$606,"47")</f>
        <v>0</v>
      </c>
      <c r="BX4" s="11">
        <f>SUMIFS('[1]Исходные данные'!$I$2:$I$606,'[1]Исходные данные'!$D$2:$D$606,"ЦИТС.",'[1]Исходные данные'!$F$2:$F$606,"47")</f>
        <v>0</v>
      </c>
      <c r="BY4" s="11">
        <f>SUMIFS('[1]Исходные данные'!$J$2:$J$606,'[1]Исходные данные'!$D$2:$D$606,"ЦИТС.",'[1]Исходные данные'!$F$2:$F$606,"47")</f>
        <v>0</v>
      </c>
      <c r="BZ4" s="11">
        <f>SUMIFS('[1]Исходные данные'!$I$2:$I$606,'[1]Исходные данные'!$D$2:$D$606,"ОБО",'[1]Исходные данные'!$F$2:$F$606,"47")</f>
        <v>0</v>
      </c>
      <c r="CA4" s="11">
        <f>SUMIFS('[1]Исходные данные'!$J$2:$J$606,'[1]Исходные данные'!$D$2:$D$606,"ОБО",'[1]Исходные данные'!$F$2:$F$606,"47")</f>
        <v>0</v>
      </c>
      <c r="CB4" s="11">
        <f>SUMIFS('[1]Исходные данные'!$I$2:$I$606,'[1]Исходные данные'!$D$2:$D$606,"УЖЭО",'[1]Исходные данные'!$F$2:$F$606,"47")</f>
        <v>0</v>
      </c>
      <c r="CC4" s="11">
        <f>SUMIFS('[1]Исходные данные'!$J$2:$J$606,'[1]Исходные данные'!$D$2:$D$606,"УЖЭО",'[1]Исходные данные'!$F$2:$F$606,"47")</f>
        <v>0</v>
      </c>
      <c r="CD4" s="11">
        <f>SUMIFS('[1]Исходные данные'!$I$2:$I$606,'[1]Исходные данные'!$D$2:$D$606,"Мухтар/Хамит",'[1]Исходные данные'!$F$2:$F$606,"47")</f>
        <v>0</v>
      </c>
      <c r="CE4" s="11">
        <f>SUMIFS('[1]Исходные данные'!$J$2:$J$606,'[1]Исходные данные'!$D$2:$D$606,"Мухтар/Хамит",'[1]Исходные данные'!$F$2:$F$606,"47")</f>
        <v>0</v>
      </c>
      <c r="CF4" s="11">
        <f>SUMIFS('[1]Исходные данные'!$I$2:$I$606,'[1]Исходные данные'!$D$2:$D$606,"ОБО-    СБ",'[1]Исходные данные'!$F$2:$F$606,"47")</f>
        <v>0</v>
      </c>
      <c r="CG4" s="11">
        <f>SUMIFS('[1]Исходные данные'!$J$2:$J$606,'[1]Исходные данные'!$D$2:$D$606,"ОБО-    СБ",'[1]Исходные данные'!$F$2:$F$606,"47")</f>
        <v>0</v>
      </c>
      <c r="CH4" s="11">
        <f>SUMIFS('[1]Исходные данные'!$I$2:$I$606,'[1]Исходные данные'!$D$2:$D$606,"РМУ 2",'[1]Исходные данные'!$F$2:$F$606,"47")</f>
        <v>0</v>
      </c>
      <c r="CI4" s="11">
        <f>SUMIFS('[1]Исходные данные'!$J$2:$J$606,'[1]Исходные данные'!$D$2:$D$606,"РМУ 2",'[1]Исходные данные'!$F$2:$F$606,"47")</f>
        <v>0</v>
      </c>
      <c r="CJ4" s="11">
        <f>SUMIFS('[1]Исходные данные'!$I$2:$I$606,'[1]Исходные данные'!$D$2:$D$606,"ГАПиИТ",'[1]Исходные данные'!$F$2:$F$606,"47")</f>
        <v>0</v>
      </c>
      <c r="CK4" s="11">
        <f>SUMIFS('[1]Исходные данные'!$J$2:$J$606,'[1]Исходные данные'!$D$2:$D$606,"ГАПиИТ",'[1]Исходные данные'!$F$2:$F$606,"47")</f>
        <v>0</v>
      </c>
      <c r="CL4" s="11">
        <f>SUMIFS('[1]Исходные данные'!$I$2:$I$606,'[1]Исходные данные'!$D$2:$D$606,"ОМ",'[1]Исходные данные'!$F$2:$F$606,"47")</f>
        <v>0</v>
      </c>
      <c r="CM4" s="11">
        <f>SUMIFS('[1]Исходные данные'!$J$2:$J$606,'[1]Исходные данные'!$D$2:$D$606,"ОМ",'[1]Исходные данные'!$F$2:$F$606,"47")</f>
        <v>0</v>
      </c>
      <c r="CN4" s="11">
        <f>SUMIFS('[1]Исходные данные'!$I$2:$I$606,'[1]Исходные данные'!$D$2:$D$606,"оппоIR",'[1]Исходные данные'!$F$2:$F$606,"47")</f>
        <v>0</v>
      </c>
      <c r="CO4" s="11">
        <f>SUMIFS('[1]Исходные данные'!$J$2:$J$606,'[1]Исходные данные'!$D$2:$D$606,"оппоIR",'[1]Исходные данные'!$F$2:$F$606,"47")</f>
        <v>0</v>
      </c>
      <c r="CP4" s="11">
        <f>SUMIFS('[1]Исходные данные'!$I$2:$I$606,'[1]Исходные данные'!$D$2:$D$606,"Маркшейдер",'[1]Исходные данные'!$F$2:$F$606,"47")</f>
        <v>0</v>
      </c>
      <c r="CQ4" s="11">
        <f>SUMIFS('[1]Исходные данные'!$J$2:$J$606,'[1]Исходные данные'!$D$2:$D$606,"Маркшейдер",'[1]Исходные данные'!$F$2:$F$606,"47")</f>
        <v>0</v>
      </c>
      <c r="CR4" s="11">
        <f>SUMIFS('[1]Исходные данные'!$I$2:$I$606,'[1]Исходные данные'!$D$2:$D$606,"ПСО",'[1]Исходные данные'!$F$2:$F$606,"47")</f>
        <v>0</v>
      </c>
      <c r="CS4" s="11">
        <f>SUMIFS('[1]Исходные данные'!$J$2:$J$606,'[1]Исходные данные'!$D$2:$D$606,"ПСО",'[1]Исходные данные'!$F$2:$F$606,"47")</f>
        <v>0</v>
      </c>
    </row>
    <row r="5" spans="1:97" x14ac:dyDescent="0.25">
      <c r="A5" s="8" t="s">
        <v>55</v>
      </c>
      <c r="B5" s="9" t="s">
        <v>56</v>
      </c>
      <c r="C5" s="10">
        <f t="shared" si="0"/>
        <v>15</v>
      </c>
      <c r="D5" s="10">
        <f t="shared" si="1"/>
        <v>9</v>
      </c>
      <c r="E5" s="10">
        <f t="shared" si="1"/>
        <v>6</v>
      </c>
      <c r="F5" s="9">
        <f>SUMIFS('[1]Исходные данные'!$I$2:$I$606,'[1]Исходные данные'!$D$2:$D$606,"ЦДН-1",'[1]Исходные данные'!$F$2:$F$606,"49")</f>
        <v>2</v>
      </c>
      <c r="G5" s="9">
        <f>SUMIFS('[1]Исходные данные'!$J$2:$J$606,'[1]Исходные данные'!$D$2:$D$606,"ЦДН-1",'[1]Исходные данные'!$F$2:$F$606,"49")</f>
        <v>2</v>
      </c>
      <c r="H5" s="9">
        <f>SUMIFS('[1]Исходные данные'!$I$2:$I$606,'[1]Исходные данные'!$D$2:$D$606,"ЦДН-2",'[1]Исходные данные'!$F$2:$F$606,"49")</f>
        <v>2</v>
      </c>
      <c r="I5" s="9">
        <f>SUMIFS('[1]Исходные данные'!$J$2:$J$606,'[1]Исходные данные'!$D$2:$D$606,"ЦДН-2",'[1]Исходные данные'!$F$2:$F$606,"49")</f>
        <v>0</v>
      </c>
      <c r="J5" s="9">
        <f>SUMIFS('[1]Исходные данные'!$I$2:$I$606,'[1]Исходные данные'!$D$2:$D$606,"ЦДН-3",'[1]Исходные данные'!$F$2:$F$606,"49")</f>
        <v>2</v>
      </c>
      <c r="K5" s="9">
        <f>SUMIFS('[1]Исходные данные'!$J$2:$J$606,'[1]Исходные данные'!$D$2:$D$606,"ЦДН-3",'[1]Исходные данные'!$F$2:$F$606,"49")</f>
        <v>1</v>
      </c>
      <c r="L5" s="9">
        <f>SUMIFS('[1]Исходные данные'!$I$2:$I$606,'[1]Исходные данные'!$D$2:$D$606,"ЦППН",'[1]Исходные данные'!$F$2:$F$606,"49")</f>
        <v>0</v>
      </c>
      <c r="M5" s="9">
        <f>SUMIFS('[1]Исходные данные'!$J$2:$J$606,'[1]Исходные данные'!$D$2:$D$606,"ЦППН",'[1]Исходные данные'!$F$2:$F$606,"49")</f>
        <v>0</v>
      </c>
      <c r="N5" s="9">
        <f>SUMIFS('[1]Исходные данные'!$I$2:$I$606,'[1]Исходные данные'!$D$2:$D$606,"ЦППД",'[1]Исходные данные'!$F$2:$F$606,"49")</f>
        <v>0</v>
      </c>
      <c r="O5" s="9">
        <f>SUMIFS('[1]Исходные данные'!$J$2:$J$606,'[1]Исходные данные'!$D$2:$D$606,"ЦППД",'[1]Исходные данные'!$F$2:$F$606,"49")</f>
        <v>0</v>
      </c>
      <c r="P5" s="9">
        <f>SUMIFS('[1]Исходные данные'!$I$2:$I$606,'[1]Исходные данные'!$D$2:$D$606,"ЭЦ",'[1]Исходные данные'!$F$2:$F$606,"49")</f>
        <v>0</v>
      </c>
      <c r="Q5" s="9">
        <f>SUMIFS('[1]Исходные данные'!$J$2:$J$606,'[1]Исходные данные'!$D$2:$D$606,"ЭЦ",'[1]Исходные данные'!$F$2:$F$606,"49")</f>
        <v>0</v>
      </c>
      <c r="R5" s="9">
        <f>SUMIFS('[1]Исходные данные'!$I$2:$I$606,'[1]Исходные данные'!$D$2:$D$606,"ОКС",'[1]Исходные данные'!$F$2:$F$606,"49")</f>
        <v>0</v>
      </c>
      <c r="S5" s="9">
        <f>SUMIFS('[1]Исходные данные'!$J$2:$J$606,'[1]Исходные данные'!$D$2:$D$606,"ОКС",'[1]Исходные данные'!$F$2:$F$606,"49")</f>
        <v>0</v>
      </c>
      <c r="T5" s="9">
        <f>SUMIFS('[1]Исходные данные'!$I$2:$I$606,'[1]Исходные данные'!$D$2:$D$606,"РСЦ",'[1]Исходные данные'!$F$2:$F$606,"49")</f>
        <v>0</v>
      </c>
      <c r="U5" s="9">
        <f>SUMIFS('[1]Исходные данные'!$J$2:$J$606,'[1]Исходные данные'!$D$2:$D$606,"РСЦ",'[1]Исходные данные'!$F$2:$F$606,"49")</f>
        <v>0</v>
      </c>
      <c r="V5" s="9">
        <f>SUMIFS('[1]Исходные данные'!$I$2:$I$606,'[1]Исходные данные'!$D$2:$D$606,"ЦИТС",'[1]Исходные данные'!$F$2:$F$606,"49")</f>
        <v>0</v>
      </c>
      <c r="W5" s="9">
        <f>SUMIFS('[1]Исходные данные'!$J$2:$J$606,'[1]Исходные данные'!$D$2:$D$606,"ЦИТС",'[1]Исходные данные'!$F$2:$F$606,"49")</f>
        <v>0</v>
      </c>
      <c r="X5" s="9">
        <f>SUMIFS('[1]Исходные данные'!$I$2:$I$606,'[1]Исходные данные'!$D$2:$D$606,"ПРЦЭО",'[1]Исходные данные'!$F$2:$F$606,"49")</f>
        <v>0</v>
      </c>
      <c r="Y5" s="9">
        <f>SUMIFS('[1]Исходные данные'!$J$2:$J$606,'[1]Исходные данные'!$D$2:$D$606,"ПРЦЭО",'[1]Исходные данные'!$F$2:$F$606,"49")</f>
        <v>0</v>
      </c>
      <c r="Z5" s="9">
        <f>SUMIFS('[1]Исходные данные'!$I$2:$I$606,'[1]Исходные данные'!$D$2:$D$606,"ГЦ",'[1]Исходные данные'!$F$2:$F$606,"49")</f>
        <v>0</v>
      </c>
      <c r="AA5" s="9">
        <f>SUMIFS('[1]Исходные данные'!$J$2:$J$606,'[1]Исходные данные'!$D$2:$D$606,"ГЦ",'[1]Исходные данные'!$F$2:$F$606,"49")</f>
        <v>0</v>
      </c>
      <c r="AB5" s="9">
        <f>SUMIFS('[1]Исходные данные'!$I$2:$I$606,'[1]Исходные данные'!$D$2:$D$606,"ЦПП",'[1]Исходные данные'!$F$2:$F$606,"49")</f>
        <v>0</v>
      </c>
      <c r="AC5" s="9">
        <f>SUMIFS('[1]Исходные данные'!$J$2:$J$606,'[1]Исходные данные'!$D$2:$D$606,"ЦПП",'[1]Исходные данные'!$F$2:$F$606,"49")</f>
        <v>0</v>
      </c>
      <c r="AD5" s="9">
        <f>SUMIFS('[1]Исходные данные'!$I$2:$I$606,'[1]Исходные данные'!$D$2:$D$606,"БМТС",'[1]Исходные данные'!$F$2:$F$606,"49")</f>
        <v>0</v>
      </c>
      <c r="AE5" s="9">
        <f>SUMIFS('[1]Исходные данные'!$J$2:$J$606,'[1]Исходные данные'!$D$2:$D$606,"БМТС",'[1]Исходные данные'!$F$2:$F$606,"49")</f>
        <v>0</v>
      </c>
      <c r="AF5" s="9">
        <f>SUMIFS('[1]Исходные данные'!$I$2:$I$606,'[1]Исходные данные'!$D$2:$D$606,"УБиПКРС-1",'[1]Исходные данные'!$F$2:$F$606,"49")</f>
        <v>2</v>
      </c>
      <c r="AG5" s="9">
        <f>SUMIFS('[1]Исходные данные'!$J$2:$J$606,'[1]Исходные данные'!$D$2:$D$606,"УБиПКРС-1",'[1]Исходные данные'!$F$2:$F$606,"49")</f>
        <v>2</v>
      </c>
      <c r="AH5" s="9">
        <f>SUMIFS('[1]Исходные данные'!$I$2:$I$606,'[1]Исходные данные'!$D$2:$D$606,"УБиПКРС-2",'[1]Исходные данные'!$F$2:$F$606,"49")</f>
        <v>1</v>
      </c>
      <c r="AI5" s="9">
        <f>SUMIFS('[1]Исходные данные'!$J$2:$J$606,'[1]Исходные данные'!$D$2:$D$606,"УБиПКРС-2",'[1]Исходные данные'!$F$2:$F$606,"49")</f>
        <v>1</v>
      </c>
      <c r="AJ5" s="11">
        <f>SUMIFS('[1]Исходные данные'!$I$2:$I$606,'[1]Исходные данные'!$D$2:$D$606,"ДТТ-1",'[1]Исходные данные'!$F$2:$F$606,"49")</f>
        <v>0</v>
      </c>
      <c r="AK5" s="11">
        <f>SUMIFS('[1]Исходные данные'!$J$2:$J$606,'[1]Исходные данные'!$D$2:$D$606,"ДТТ-1",'[1]Исходные данные'!$F$2:$F$606,"49")</f>
        <v>0</v>
      </c>
      <c r="AL5" s="11">
        <f>SUMIFS('[1]Исходные данные'!$I$2:$I$606,'[1]Исходные данные'!$D$2:$D$606,"ЦНИПР",'[1]Исходные данные'!$F$2:$F$606,"49")</f>
        <v>0</v>
      </c>
      <c r="AM5" s="11">
        <f>SUMIFS('[1]Исходные данные'!$J$2:$J$606,'[1]Исходные данные'!$D$2:$D$606,"ЦНИПР",'[1]Исходные данные'!$F$2:$F$606,"49")</f>
        <v>0</v>
      </c>
      <c r="AN5" s="11">
        <f>SUMIFS('[1]Исходные данные'!$I$2:$I$606,'[1]Исходные данные'!$D$2:$D$606,"ОБиПКРС",'[1]Исходные данные'!$F$2:$F$606,"49")</f>
        <v>0</v>
      </c>
      <c r="AO5" s="11">
        <f>SUMIFS('[1]Исходные данные'!$J$2:$J$606,'[1]Исходные данные'!$D$2:$D$606,"ОБиПКРС",'[1]Исходные данные'!$F$2:$F$606,"49")</f>
        <v>0</v>
      </c>
      <c r="AP5" s="11">
        <f>SUMIFS('[1]Исходные данные'!$I$2:$I$606,'[1]Исходные данные'!$D$2:$D$606,"ЦАП",'[1]Исходные данные'!$F$2:$F$606,"49")</f>
        <v>0</v>
      </c>
      <c r="AQ5" s="11">
        <f>SUMIFS('[1]Исходные данные'!$J$2:$J$606,'[1]Исходные данные'!$D$2:$D$606,"ЦАП",'[1]Исходные данные'!$F$2:$F$606,"49")</f>
        <v>0</v>
      </c>
      <c r="AR5" s="11">
        <f>SUMIFS('[1]Исходные данные'!$I$2:$I$606,'[1]Исходные данные'!$D$2:$D$606,"ГООС",'[1]Исходные данные'!$F$2:$F$606,"49")</f>
        <v>0</v>
      </c>
      <c r="AS5" s="11">
        <f>SUMIFS('[1]Исходные данные'!$J$2:$J$606,'[1]Исходные данные'!$D$2:$D$606,"ГООС",'[1]Исходные данные'!$F$2:$F$606,"49")</f>
        <v>0</v>
      </c>
      <c r="AT5" s="11">
        <f>SUMIFS('[1]Исходные данные'!$I$2:$I$606,'[1]Исходные данные'!$D$2:$D$606,"Ақкетік",'[1]Исходные данные'!$F$2:$F$606,"49")</f>
        <v>0</v>
      </c>
      <c r="AU5" s="11">
        <f>SUMIFS('[1]Исходные данные'!$J$2:$J$606,'[1]Исходные данные'!$D$2:$D$606,"Ақкетік",'[1]Исходные данные'!$F$2:$F$606,"49")</f>
        <v>0</v>
      </c>
      <c r="AV5" s="11">
        <f>SUMIFS('[1]Исходные данные'!$I$2:$I$606,'[1]Исходные данные'!$D$2:$D$606,"Нейрон",'[1]Исходные данные'!$F$2:$F$606,"49")</f>
        <v>0</v>
      </c>
      <c r="AW5" s="11">
        <f>SUMIFS('[1]Исходные данные'!$J$2:$J$606,'[1]Исходные данные'!$D$2:$D$606,"Нейрон",'[1]Исходные данные'!$F$2:$F$606,"49")</f>
        <v>0</v>
      </c>
      <c r="AX5" s="11">
        <f>SUMIFS('[1]Исходные данные'!$I$2:$I$606,'[1]Исходные данные'!$D$2:$D$606,"Бурение",'[1]Исходные данные'!$F$2:$F$606,"49")</f>
        <v>0</v>
      </c>
      <c r="AY5" s="11">
        <f>SUMIFS('[1]Исходные данные'!$J$2:$J$606,'[1]Исходные данные'!$D$2:$D$606,"Бурение",'[1]Исходные данные'!$F$2:$F$606,"49")</f>
        <v>0</v>
      </c>
      <c r="AZ5" s="11">
        <f>SUMIFS('[1]Исходные данные'!$I$2:$I$606,'[1]Исходные данные'!$D$2:$D$606,"ЦТВС",'[1]Исходные данные'!$F$2:$F$606,"49")</f>
        <v>0</v>
      </c>
      <c r="BA5" s="11">
        <f>SUMIFS('[1]Исходные данные'!$J$2:$J$606,'[1]Исходные данные'!$D$2:$D$606,"ЦТВС",'[1]Исходные данные'!$F$2:$F$606,"49")</f>
        <v>0</v>
      </c>
      <c r="BB5" s="11">
        <f>SUMIFS('[1]Исходные данные'!$I$2:$I$606,'[1]Исходные данные'!$D$2:$D$606,"ТБ",'[1]Исходные данные'!$F$2:$F$606,"49")</f>
        <v>0</v>
      </c>
      <c r="BC5" s="11">
        <f>SUMIFS('[1]Исходные данные'!$J$2:$J$606,'[1]Исходные данные'!$D$2:$D$606,"ТБ",'[1]Исходные данные'!$F$2:$F$606,"49")</f>
        <v>0</v>
      </c>
      <c r="BD5" s="11">
        <f>SUMIFS('[1]Исходные данные'!$I$2:$I$606,'[1]Исходные данные'!$D$2:$D$606,"ОТДН",'[1]Исходные данные'!$F$2:$F$606,"49")</f>
        <v>0</v>
      </c>
      <c r="BE5" s="11">
        <f>SUMIFS('[1]Исходные данные'!$J$2:$J$606,'[1]Исходные данные'!$D$2:$D$606,"ОТДН",'[1]Исходные данные'!$F$2:$F$606,"49")</f>
        <v>0</v>
      </c>
      <c r="BF5" s="11">
        <f>SUMIFS('[1]Исходные данные'!$I$2:$I$606,'[1]Исходные данные'!$D$2:$D$606,"ПЧ-Семсер",'[1]Исходные данные'!$F$2:$F$606,"49")</f>
        <v>0</v>
      </c>
      <c r="BG5" s="11">
        <f>SUMIFS('[1]Исходные данные'!$J$2:$J$606,'[1]Исходные данные'!$D$2:$D$606,"ПЧ-Семсер",'[1]Исходные данные'!$F$2:$F$606,"49")</f>
        <v>0</v>
      </c>
      <c r="BH5" s="11">
        <f>SUMIFS('[1]Исходные данные'!$I$2:$I$606,'[1]Исходные данные'!$D$2:$D$606,"ПРЦЭО(2)",'[1]Исходные данные'!$F$2:$F$606,"49")</f>
        <v>0</v>
      </c>
      <c r="BI5" s="11">
        <f>SUMIFS('[1]Исходные данные'!$J$2:$J$606,'[1]Исходные данные'!$D$2:$D$606,"ПРЦЭО(2)",'[1]Исходные данные'!$F$2:$F$606,"49")</f>
        <v>0</v>
      </c>
      <c r="BJ5" s="11">
        <f>SUMIFS('[1]Исходные данные'!$I$2:$I$606,'[1]Исходные данные'!$D$2:$D$606,"БД",'[1]Исходные данные'!$F$2:$F$606,"49")</f>
        <v>0</v>
      </c>
      <c r="BK5" s="11">
        <f>SUMIFS('[1]Исходные данные'!$J$2:$J$606,'[1]Исходные данные'!$D$2:$D$606,"БД",'[1]Исходные данные'!$F$2:$F$606,"49")</f>
        <v>0</v>
      </c>
      <c r="BL5" s="11">
        <f>SUMIFS('[1]Исходные данные'!$I$2:$I$606,'[1]Исходные данные'!$D$2:$D$606,"ОГиР",'[1]Исходные данные'!$F$2:$F$606,"49")</f>
        <v>0</v>
      </c>
      <c r="BM5" s="11">
        <f>SUMIFS('[1]Исходные данные'!$J$2:$J$606,'[1]Исходные данные'!$D$2:$D$606,"ОГиР",'[1]Исходные данные'!$F$2:$F$606,"49")</f>
        <v>0</v>
      </c>
      <c r="BN5" s="11">
        <f>SUMIFS('[1]Исходные данные'!$I$2:$I$606,'[1]Исходные данные'!$D$2:$D$606,"ГСРиВК",'[1]Исходные данные'!$F$2:$F$606,"49")</f>
        <v>0</v>
      </c>
      <c r="BO5" s="11">
        <f>SUMIFS('[1]Исходные данные'!$J$2:$J$606,'[1]Исходные данные'!$D$2:$D$606,"ГСРиВК",'[1]Исходные данные'!$F$2:$F$606,"49")</f>
        <v>0</v>
      </c>
      <c r="BP5" s="11">
        <f>SUMIFS('[1]Исходные данные'!$I$2:$I$606,'[1]Исходные данные'!$D$2:$D$606,"МПГУ",'[1]Исходные данные'!$F$2:$F$606,"49")</f>
        <v>0</v>
      </c>
      <c r="BQ5" s="11">
        <f>SUMIFS('[1]Исходные данные'!$J$2:$J$606,'[1]Исходные данные'!$D$2:$D$606,"МПГУ",'[1]Исходные данные'!$F$2:$F$606,"49")</f>
        <v>0</v>
      </c>
      <c r="BR5" s="11">
        <f>SUMIFS('[1]Исходные данные'!$I$2:$I$606,'[1]Исходные данные'!$D$2:$D$606,"БПО 2",'[1]Исходные данные'!$F$2:$F$606,"49")</f>
        <v>0</v>
      </c>
      <c r="BS5" s="11">
        <f>SUMIFS('[1]Исходные данные'!$J$2:$J$606,'[1]Исходные данные'!$D$2:$D$606,"БПО 2",'[1]Исходные данные'!$F$2:$F$606,"49")</f>
        <v>0</v>
      </c>
      <c r="BT5" s="11">
        <f>SUMIFS('[1]Исходные данные'!$I$2:$I$606,'[1]Исходные данные'!$D$2:$D$606,"ЛД",'[1]Исходные данные'!$F$2:$F$606,"49")</f>
        <v>0</v>
      </c>
      <c r="BU5" s="11">
        <f>SUMIFS('[1]Исходные данные'!$J$2:$J$606,'[1]Исходные данные'!$D$2:$D$606,"ЛД",'[1]Исходные данные'!$F$2:$F$606,"49")</f>
        <v>0</v>
      </c>
      <c r="BV5" s="11">
        <f>SUMIFS('[1]Исходные данные'!$I$2:$I$606,'[1]Исходные данные'!$D$2:$D$606,"Отделкадр",'[1]Исходные данные'!$F$2:$F$606,"49")</f>
        <v>0</v>
      </c>
      <c r="BW5" s="11">
        <f>SUMIFS('[1]Исходные данные'!$J$2:$J$606,'[1]Исходные данные'!$D$2:$D$606,"Отделкадр",'[1]Исходные данные'!$F$2:$F$606,"49")</f>
        <v>0</v>
      </c>
      <c r="BX5" s="11">
        <f>SUMIFS('[1]Исходные данные'!$I$2:$I$606,'[1]Исходные данные'!$D$2:$D$606,"ЦИТС.",'[1]Исходные данные'!$F$2:$F$606,"49")</f>
        <v>0</v>
      </c>
      <c r="BY5" s="11">
        <f>SUMIFS('[1]Исходные данные'!$J$2:$J$606,'[1]Исходные данные'!$D$2:$D$606,"ЦИТС.",'[1]Исходные данные'!$F$2:$F$606,"49")</f>
        <v>0</v>
      </c>
      <c r="BZ5" s="11">
        <f>SUMIFS('[1]Исходные данные'!$I$2:$I$606,'[1]Исходные данные'!$D$2:$D$606,"ОБО",'[1]Исходные данные'!$F$2:$F$606,"49")</f>
        <v>0</v>
      </c>
      <c r="CA5" s="11">
        <f>SUMIFS('[1]Исходные данные'!$J$2:$J$606,'[1]Исходные данные'!$D$2:$D$606,"ОБО",'[1]Исходные данные'!$F$2:$F$606,"49")</f>
        <v>0</v>
      </c>
      <c r="CB5" s="11">
        <f>SUMIFS('[1]Исходные данные'!$I$2:$I$606,'[1]Исходные данные'!$D$2:$D$606,"УЖЭО",'[1]Исходные данные'!$F$2:$F$606,"49")</f>
        <v>0</v>
      </c>
      <c r="CC5" s="11">
        <f>SUMIFS('[1]Исходные данные'!$J$2:$J$606,'[1]Исходные данные'!$D$2:$D$606,"УЖЭО",'[1]Исходные данные'!$F$2:$F$606,"49")</f>
        <v>0</v>
      </c>
      <c r="CD5" s="11">
        <f>SUMIFS('[1]Исходные данные'!$I$2:$I$606,'[1]Исходные данные'!$D$2:$D$606,"Мухтар/Хамит",'[1]Исходные данные'!$F$2:$F$606,"49")</f>
        <v>0</v>
      </c>
      <c r="CE5" s="11">
        <f>SUMIFS('[1]Исходные данные'!$J$2:$J$606,'[1]Исходные данные'!$D$2:$D$606,"Мухтар/Хамит",'[1]Исходные данные'!$F$2:$F$606,"49")</f>
        <v>0</v>
      </c>
      <c r="CF5" s="11">
        <f>SUMIFS('[1]Исходные данные'!$I$2:$I$606,'[1]Исходные данные'!$D$2:$D$606,"ОБО-    СБ",'[1]Исходные данные'!$F$2:$F$606,"49")</f>
        <v>0</v>
      </c>
      <c r="CG5" s="11">
        <f>SUMIFS('[1]Исходные данные'!$J$2:$J$606,'[1]Исходные данные'!$D$2:$D$606,"ОБО-    СБ",'[1]Исходные данные'!$F$2:$F$606,"49")</f>
        <v>0</v>
      </c>
      <c r="CH5" s="11">
        <f>SUMIFS('[1]Исходные данные'!$I$2:$I$606,'[1]Исходные данные'!$D$2:$D$606,"РМУ 2",'[1]Исходные данные'!$F$2:$F$606,"49")</f>
        <v>0</v>
      </c>
      <c r="CI5" s="11">
        <f>SUMIFS('[1]Исходные данные'!$J$2:$J$606,'[1]Исходные данные'!$D$2:$D$606,"РМУ 2",'[1]Исходные данные'!$F$2:$F$606,"49")</f>
        <v>0</v>
      </c>
      <c r="CJ5" s="11">
        <f>SUMIFS('[1]Исходные данные'!$I$2:$I$606,'[1]Исходные данные'!$D$2:$D$606,"ГАПиИТ",'[1]Исходные данные'!$F$2:$F$606,"49")</f>
        <v>0</v>
      </c>
      <c r="CK5" s="11">
        <f>SUMIFS('[1]Исходные данные'!$J$2:$J$606,'[1]Исходные данные'!$D$2:$D$606,"ГАПиИТ",'[1]Исходные данные'!$F$2:$F$606,"49")</f>
        <v>0</v>
      </c>
      <c r="CL5" s="11">
        <f>SUMIFS('[1]Исходные данные'!$I$2:$I$606,'[1]Исходные данные'!$D$2:$D$606,"ОМ",'[1]Исходные данные'!$F$2:$F$606,"49")</f>
        <v>0</v>
      </c>
      <c r="CM5" s="11">
        <f>SUMIFS('[1]Исходные данные'!$J$2:$J$606,'[1]Исходные данные'!$D$2:$D$606,"ОМ",'[1]Исходные данные'!$F$2:$F$606,"49")</f>
        <v>0</v>
      </c>
      <c r="CN5" s="11">
        <f>SUMIFS('[1]Исходные данные'!$I$2:$I$606,'[1]Исходные данные'!$D$2:$D$606,"оппоIR",'[1]Исходные данные'!$F$2:$F$606,"49")</f>
        <v>0</v>
      </c>
      <c r="CO5" s="11">
        <f>SUMIFS('[1]Исходные данные'!$J$2:$J$606,'[1]Исходные данные'!$D$2:$D$606,"оппоIR",'[1]Исходные данные'!$F$2:$F$606,"49")</f>
        <v>0</v>
      </c>
      <c r="CP5" s="11">
        <f>SUMIFS('[1]Исходные данные'!$I$2:$I$606,'[1]Исходные данные'!$D$2:$D$606,"Маркшейдер",'[1]Исходные данные'!$F$2:$F$606,"49")</f>
        <v>0</v>
      </c>
      <c r="CQ5" s="11">
        <f>SUMIFS('[1]Исходные данные'!$J$2:$J$606,'[1]Исходные данные'!$D$2:$D$606,"Маркшейдер",'[1]Исходные данные'!$F$2:$F$606,"49")</f>
        <v>0</v>
      </c>
      <c r="CR5" s="11">
        <f>SUMIFS('[1]Исходные данные'!$I$2:$I$606,'[1]Исходные данные'!$D$2:$D$606,"ПСО",'[1]Исходные данные'!$F$2:$F$606,"49")</f>
        <v>0</v>
      </c>
      <c r="CS5" s="11">
        <f>SUMIFS('[1]Исходные данные'!$J$2:$J$606,'[1]Исходные данные'!$D$2:$D$606,"ПСО",'[1]Исходные данные'!$F$2:$F$606,"49")</f>
        <v>0</v>
      </c>
    </row>
    <row r="6" spans="1:97" x14ac:dyDescent="0.25">
      <c r="A6" s="8" t="s">
        <v>57</v>
      </c>
      <c r="B6" s="8" t="s">
        <v>58</v>
      </c>
      <c r="C6" s="12">
        <f t="shared" si="0"/>
        <v>15</v>
      </c>
      <c r="D6" s="12">
        <f t="shared" si="1"/>
        <v>12</v>
      </c>
      <c r="E6" s="12">
        <f t="shared" si="1"/>
        <v>3</v>
      </c>
      <c r="F6" s="8">
        <f>SUMIFS('[1]Исходные данные'!$I$2:$I$606,'[1]Исходные данные'!$D$2:$D$606,"ЦДН-1",'[1]Исходные данные'!$F$2:$F$606,"28")</f>
        <v>1</v>
      </c>
      <c r="G6" s="8">
        <f>SUMIFS('[1]Исходные данные'!$J$2:$J$606,'[1]Исходные данные'!$D$2:$D$606,"ЦДН-1",'[1]Исходные данные'!$F$2:$F$606,"28")</f>
        <v>0</v>
      </c>
      <c r="H6" s="8">
        <f>SUMIFS('[1]Исходные данные'!$I$2:$I$606,'[1]Исходные данные'!$D$2:$D$606,"ЦДН-2",'[1]Исходные данные'!$F$2:$F$606,"28")</f>
        <v>1</v>
      </c>
      <c r="I6" s="8">
        <f>SUMIFS('[1]Исходные данные'!$J$2:$J$606,'[1]Исходные данные'!$D$2:$D$606,"ЦДН-2",'[1]Исходные данные'!$F$2:$F$606,"28")</f>
        <v>0</v>
      </c>
      <c r="J6" s="8">
        <f>SUMIFS('[1]Исходные данные'!$I$2:$I$606,'[1]Исходные данные'!$D$2:$D$606,"ЦДН-3",'[1]Исходные данные'!$F$2:$F$606,"28")</f>
        <v>2</v>
      </c>
      <c r="K6" s="8">
        <f>SUMIFS('[1]Исходные данные'!$J$2:$J$606,'[1]Исходные данные'!$D$2:$D$606,"ЦДН-3",'[1]Исходные данные'!$F$2:$F$606,"28")</f>
        <v>0</v>
      </c>
      <c r="L6" s="8">
        <f>SUMIFS('[1]Исходные данные'!$I$2:$I$606,'[1]Исходные данные'!$D$2:$D$606,"ЦППН",'[1]Исходные данные'!$F$2:$F$606,"28")</f>
        <v>0</v>
      </c>
      <c r="M6" s="8">
        <f>SUMIFS('[1]Исходные данные'!$J$2:$J$606,'[1]Исходные данные'!$D$2:$D$606,"ЦППН",'[1]Исходные данные'!$F$2:$F$606,"28")</f>
        <v>0</v>
      </c>
      <c r="N6" s="8">
        <f>SUMIFS('[1]Исходные данные'!$I$2:$I$606,'[1]Исходные данные'!$D$2:$D$606,"ЦППД",'[1]Исходные данные'!$F$2:$F$606,"28")</f>
        <v>1</v>
      </c>
      <c r="O6" s="8">
        <f>SUMIFS('[1]Исходные данные'!$J$2:$J$606,'[1]Исходные данные'!$D$2:$D$606,"ЦППД",'[1]Исходные данные'!$F$2:$F$606,"28")</f>
        <v>0</v>
      </c>
      <c r="P6" s="8">
        <f>SUMIFS('[1]Исходные данные'!$I$2:$I$606,'[1]Исходные данные'!$D$2:$D$606,"ЭЦ",'[1]Исходные данные'!$F$2:$F$606,"28")</f>
        <v>1</v>
      </c>
      <c r="Q6" s="8">
        <f>SUMIFS('[1]Исходные данные'!$J$2:$J$606,'[1]Исходные данные'!$D$2:$D$606,"ЭЦ",'[1]Исходные данные'!$F$2:$F$606,"28")</f>
        <v>0</v>
      </c>
      <c r="R6" s="8">
        <f>SUMIFS('[1]Исходные данные'!$I$2:$I$606,'[1]Исходные данные'!$D$2:$D$606,"ОКС",'[1]Исходные данные'!$F$2:$F$606,"28")</f>
        <v>0</v>
      </c>
      <c r="S6" s="8">
        <f>SUMIFS('[1]Исходные данные'!$J$2:$J$606,'[1]Исходные данные'!$D$2:$D$606,"ОКС",'[1]Исходные данные'!$F$2:$F$606,"28")</f>
        <v>0</v>
      </c>
      <c r="T6" s="8">
        <f>SUMIFS('[1]Исходные данные'!$I$2:$I$606,'[1]Исходные данные'!$D$2:$D$606,"РСЦ",'[1]Исходные данные'!$F$2:$F$606,"28")</f>
        <v>0</v>
      </c>
      <c r="U6" s="8">
        <f>SUMIFS('[1]Исходные данные'!$J$2:$J$606,'[1]Исходные данные'!$D$2:$D$606,"РСЦ",'[1]Исходные данные'!$F$2:$F$606,"28")</f>
        <v>0</v>
      </c>
      <c r="V6" s="8">
        <f>SUMIFS('[1]Исходные данные'!$I$2:$I$606,'[1]Исходные данные'!$D$2:$D$606,"ЦИТС",'[1]Исходные данные'!$F$2:$F$606,"28")</f>
        <v>0</v>
      </c>
      <c r="W6" s="8">
        <f>SUMIFS('[1]Исходные данные'!$J$2:$J$606,'[1]Исходные данные'!$D$2:$D$606,"ЦИТС",'[1]Исходные данные'!$F$2:$F$606,"28")</f>
        <v>0</v>
      </c>
      <c r="X6" s="8">
        <f>SUMIFS('[1]Исходные данные'!$I$2:$I$606,'[1]Исходные данные'!$D$2:$D$606,"ПРЦЭО",'[1]Исходные данные'!$F$2:$F$606,"28")</f>
        <v>1</v>
      </c>
      <c r="Y6" s="8">
        <f>SUMIFS('[1]Исходные данные'!$J$2:$J$606,'[1]Исходные данные'!$D$2:$D$606,"ПРЦЭО",'[1]Исходные данные'!$F$2:$F$606,"28")</f>
        <v>0</v>
      </c>
      <c r="Z6" s="8">
        <f>SUMIFS('[1]Исходные данные'!$I$2:$I$606,'[1]Исходные данные'!$D$2:$D$606,"ГЦ",'[1]Исходные данные'!$F$2:$F$606,"28")</f>
        <v>0</v>
      </c>
      <c r="AA6" s="8">
        <f>SUMIFS('[1]Исходные данные'!$J$2:$J$606,'[1]Исходные данные'!$D$2:$D$606,"ГЦ",'[1]Исходные данные'!$F$2:$F$606,"28")</f>
        <v>0</v>
      </c>
      <c r="AB6" s="8">
        <f>SUMIFS('[1]Исходные данные'!$I$2:$I$606,'[1]Исходные данные'!$D$2:$D$606,"ЦПП",'[1]Исходные данные'!$F$2:$F$606,"28")</f>
        <v>0</v>
      </c>
      <c r="AC6" s="8">
        <f>SUMIFS('[1]Исходные данные'!$J$2:$J$606,'[1]Исходные данные'!$D$2:$D$606,"ЦПП",'[1]Исходные данные'!$F$2:$F$606,"28")</f>
        <v>0</v>
      </c>
      <c r="AD6" s="8">
        <f>SUMIFS('[1]Исходные данные'!$I$2:$I$606,'[1]Исходные данные'!$D$2:$D$606,"БМТС",'[1]Исходные данные'!$F$2:$F$606,"28")</f>
        <v>0</v>
      </c>
      <c r="AE6" s="8">
        <f>SUMIFS('[1]Исходные данные'!$J$2:$J$606,'[1]Исходные данные'!$D$2:$D$606,"БМТС",'[1]Исходные данные'!$F$2:$F$606,"28")</f>
        <v>0</v>
      </c>
      <c r="AF6" s="8">
        <f>SUMIFS('[1]Исходные данные'!$I$2:$I$606,'[1]Исходные данные'!$D$2:$D$606,"УБиПКРС-1",'[1]Исходные данные'!$F$2:$F$606,"28")</f>
        <v>0</v>
      </c>
      <c r="AG6" s="8">
        <f>SUMIFS('[1]Исходные данные'!$J$2:$J$606,'[1]Исходные данные'!$D$2:$D$606,"УБиПКРС-1",'[1]Исходные данные'!$F$2:$F$606,"28")</f>
        <v>0</v>
      </c>
      <c r="AH6" s="8">
        <f>SUMIFS('[1]Исходные данные'!$I$2:$I$606,'[1]Исходные данные'!$D$2:$D$606,"УБиПКРС-2",'[1]Исходные данные'!$F$2:$F$606,"28")</f>
        <v>3</v>
      </c>
      <c r="AI6" s="8">
        <f>SUMIFS('[1]Исходные данные'!$J$2:$J$606,'[1]Исходные данные'!$D$2:$D$606,"УБиПКРС-2",'[1]Исходные данные'!$F$2:$F$606,"28")</f>
        <v>3</v>
      </c>
      <c r="AJ6" s="11">
        <f>SUMIFS('[1]Исходные данные'!$I$2:$I$606,'[1]Исходные данные'!$D$2:$D$606,"ДТТ-1",'[1]Исходные данные'!$F$2:$F$606,"28")</f>
        <v>1</v>
      </c>
      <c r="AK6" s="11">
        <f>SUMIFS('[1]Исходные данные'!$J$2:$J$606,'[1]Исходные данные'!$D$2:$D$606,"ДТТ-1",'[1]Исходные данные'!$F$2:$F$606,"28")</f>
        <v>0</v>
      </c>
      <c r="AL6" s="11">
        <f>SUMIFS('[1]Исходные данные'!$I$2:$I$606,'[1]Исходные данные'!$D$2:$D$606,"ЦНИПР",'[1]Исходные данные'!$F$2:$F$606,"28")</f>
        <v>0</v>
      </c>
      <c r="AM6" s="11">
        <f>SUMIFS('[1]Исходные данные'!$J$2:$J$606,'[1]Исходные данные'!$D$2:$D$606,"ЦНИПР",'[1]Исходные данные'!$F$2:$F$606,"28")</f>
        <v>0</v>
      </c>
      <c r="AN6" s="11">
        <f>SUMIFS('[1]Исходные данные'!$I$2:$I$606,'[1]Исходные данные'!$D$2:$D$606,"ОБиПКРС",'[1]Исходные данные'!$F$2:$F$606,"28")</f>
        <v>0</v>
      </c>
      <c r="AO6" s="11">
        <f>SUMIFS('[1]Исходные данные'!$J$2:$J$606,'[1]Исходные данные'!$D$2:$D$606,"ОБиПКРС",'[1]Исходные данные'!$F$2:$F$606,"28")</f>
        <v>0</v>
      </c>
      <c r="AP6" s="11">
        <f>SUMIFS('[1]Исходные данные'!$I$2:$I$606,'[1]Исходные данные'!$D$2:$D$606,"ЦАП",'[1]Исходные данные'!$F$2:$F$606,"28")</f>
        <v>0</v>
      </c>
      <c r="AQ6" s="11">
        <f>SUMIFS('[1]Исходные данные'!$J$2:$J$606,'[1]Исходные данные'!$D$2:$D$606,"ЦАП",'[1]Исходные данные'!$F$2:$F$606,"28")</f>
        <v>0</v>
      </c>
      <c r="AR6" s="11">
        <f>SUMIFS('[1]Исходные данные'!$I$2:$I$606,'[1]Исходные данные'!$D$2:$D$606,"ГООС",'[1]Исходные данные'!$F$2:$F$606,"28")</f>
        <v>0</v>
      </c>
      <c r="AS6" s="11">
        <f>SUMIFS('[1]Исходные данные'!$J$2:$J$606,'[1]Исходные данные'!$D$2:$D$606,"ГООС",'[1]Исходные данные'!$F$2:$F$606,"28")</f>
        <v>0</v>
      </c>
      <c r="AT6" s="11">
        <f>SUMIFS('[1]Исходные данные'!$I$2:$I$606,'[1]Исходные данные'!$D$2:$D$606,"Ақкетік",'[1]Исходные данные'!$F$2:$F$606,"28")</f>
        <v>1</v>
      </c>
      <c r="AU6" s="11">
        <f>SUMIFS('[1]Исходные данные'!$J$2:$J$606,'[1]Исходные данные'!$D$2:$D$606,"Ақкетік",'[1]Исходные данные'!$F$2:$F$606,"28")</f>
        <v>0</v>
      </c>
      <c r="AV6" s="11">
        <f>SUMIFS('[1]Исходные данные'!$I$2:$I$606,'[1]Исходные данные'!$D$2:$D$606,"Нейрон",'[1]Исходные данные'!$F$2:$F$606,"28")</f>
        <v>0</v>
      </c>
      <c r="AW6" s="11">
        <f>SUMIFS('[1]Исходные данные'!$J$2:$J$606,'[1]Исходные данные'!$D$2:$D$606,"Нейрон",'[1]Исходные данные'!$F$2:$F$606,"28")</f>
        <v>0</v>
      </c>
      <c r="AX6" s="11">
        <f>SUMIFS('[1]Исходные данные'!$I$2:$I$606,'[1]Исходные данные'!$D$2:$D$606,"Бурение",'[1]Исходные данные'!$F$2:$F$606,"28")</f>
        <v>0</v>
      </c>
      <c r="AY6" s="11">
        <f>SUMIFS('[1]Исходные данные'!$J$2:$J$606,'[1]Исходные данные'!$D$2:$D$606,"Бурение",'[1]Исходные данные'!$F$2:$F$606,"28")</f>
        <v>0</v>
      </c>
      <c r="AZ6" s="11">
        <f>SUMIFS('[1]Исходные данные'!$I$2:$I$606,'[1]Исходные данные'!$D$2:$D$606,"ЦТВС",'[1]Исходные данные'!$F$2:$F$606,"28")</f>
        <v>0</v>
      </c>
      <c r="BA6" s="11">
        <f>SUMIFS('[1]Исходные данные'!$J$2:$J$606,'[1]Исходные данные'!$D$2:$D$606,"ЦТВС",'[1]Исходные данные'!$F$2:$F$606,"28")</f>
        <v>0</v>
      </c>
      <c r="BB6" s="11">
        <f>SUMIFS('[1]Исходные данные'!$I$2:$I$606,'[1]Исходные данные'!$D$2:$D$606,"ТБ",'[1]Исходные данные'!$F$2:$F$606,"28")</f>
        <v>0</v>
      </c>
      <c r="BC6" s="11">
        <f>SUMIFS('[1]Исходные данные'!$J$2:$J$606,'[1]Исходные данные'!$D$2:$D$606,"ТБ",'[1]Исходные данные'!$F$2:$F$606,"28")</f>
        <v>0</v>
      </c>
      <c r="BD6" s="11">
        <f>SUMIFS('[1]Исходные данные'!$I$2:$I$606,'[1]Исходные данные'!$D$2:$D$606,"ОТДН",'[1]Исходные данные'!$F$2:$F$606,"28")</f>
        <v>0</v>
      </c>
      <c r="BE6" s="11">
        <f>SUMIFS('[1]Исходные данные'!$J$2:$J$606,'[1]Исходные данные'!$D$2:$D$606,"ОТДН",'[1]Исходные данные'!$F$2:$F$606,"28")</f>
        <v>0</v>
      </c>
      <c r="BF6" s="11">
        <f>SUMIFS('[1]Исходные данные'!$I$2:$I$606,'[1]Исходные данные'!$D$2:$D$606,"ПЧ-Семсер",'[1]Исходные данные'!$F$2:$F$606,"28")</f>
        <v>0</v>
      </c>
      <c r="BG6" s="11">
        <f>SUMIFS('[1]Исходные данные'!$J$2:$J$606,'[1]Исходные данные'!$D$2:$D$606,"ПЧ-Семсер",'[1]Исходные данные'!$F$2:$F$606,"28")</f>
        <v>0</v>
      </c>
      <c r="BH6" s="11">
        <f>SUMIFS('[1]Исходные данные'!$I$2:$I$606,'[1]Исходные данные'!$D$2:$D$606,"ПРЦЭО(2)",'[1]Исходные данные'!$F$2:$F$606,"28")</f>
        <v>0</v>
      </c>
      <c r="BI6" s="11">
        <f>SUMIFS('[1]Исходные данные'!$J$2:$J$606,'[1]Исходные данные'!$D$2:$D$606,"ПРЦЭО(2)",'[1]Исходные данные'!$F$2:$F$606,"28")</f>
        <v>0</v>
      </c>
      <c r="BJ6" s="11">
        <f>SUMIFS('[1]Исходные данные'!$I$2:$I$606,'[1]Исходные данные'!$D$2:$D$606,"БД",'[1]Исходные данные'!$F$2:$F$606,"28")</f>
        <v>0</v>
      </c>
      <c r="BK6" s="11">
        <f>SUMIFS('[1]Исходные данные'!$J$2:$J$606,'[1]Исходные данные'!$D$2:$D$606,"БД",'[1]Исходные данные'!$F$2:$F$606,"28")</f>
        <v>0</v>
      </c>
      <c r="BL6" s="11">
        <f>SUMIFS('[1]Исходные данные'!$I$2:$I$606,'[1]Исходные данные'!$D$2:$D$606,"ОГиР",'[1]Исходные данные'!$F$2:$F$606,"28")</f>
        <v>0</v>
      </c>
      <c r="BM6" s="11">
        <f>SUMIFS('[1]Исходные данные'!$J$2:$J$606,'[1]Исходные данные'!$D$2:$D$606,"ОГиР",'[1]Исходные данные'!$F$2:$F$606,"28")</f>
        <v>0</v>
      </c>
      <c r="BN6" s="11">
        <f>SUMIFS('[1]Исходные данные'!$I$2:$I$606,'[1]Исходные данные'!$D$2:$D$606,"ГСРиВК",'[1]Исходные данные'!$F$2:$F$606,"28")</f>
        <v>0</v>
      </c>
      <c r="BO6" s="11">
        <f>SUMIFS('[1]Исходные данные'!$J$2:$J$606,'[1]Исходные данные'!$D$2:$D$606,"ГСРиВК",'[1]Исходные данные'!$F$2:$F$606,"28")</f>
        <v>0</v>
      </c>
      <c r="BP6" s="11">
        <f>SUMIFS('[1]Исходные данные'!$I$2:$I$606,'[1]Исходные данные'!$D$2:$D$606,"МПГУ",'[1]Исходные данные'!$F$2:$F$606,"28")</f>
        <v>0</v>
      </c>
      <c r="BQ6" s="11">
        <f>SUMIFS('[1]Исходные данные'!$J$2:$J$606,'[1]Исходные данные'!$D$2:$D$606,"МПГУ",'[1]Исходные данные'!$F$2:$F$606,"28")</f>
        <v>0</v>
      </c>
      <c r="BR6" s="11">
        <f>SUMIFS('[1]Исходные данные'!$I$2:$I$606,'[1]Исходные данные'!$D$2:$D$606,"БПО 2",'[1]Исходные данные'!$F$2:$F$606,"28")</f>
        <v>0</v>
      </c>
      <c r="BS6" s="11">
        <f>SUMIFS('[1]Исходные данные'!$J$2:$J$606,'[1]Исходные данные'!$D$2:$D$606,"БПО 2",'[1]Исходные данные'!$F$2:$F$606,"28")</f>
        <v>0</v>
      </c>
      <c r="BT6" s="11">
        <f>SUMIFS('[1]Исходные данные'!$I$2:$I$606,'[1]Исходные данные'!$D$2:$D$606,"ЛД",'[1]Исходные данные'!$F$2:$F$606,"28")</f>
        <v>0</v>
      </c>
      <c r="BU6" s="11">
        <f>SUMIFS('[1]Исходные данные'!$J$2:$J$606,'[1]Исходные данные'!$D$2:$D$606,"ЛД",'[1]Исходные данные'!$F$2:$F$606,"28")</f>
        <v>0</v>
      </c>
      <c r="BV6" s="11">
        <f>SUMIFS('[1]Исходные данные'!$I$2:$I$606,'[1]Исходные данные'!$D$2:$D$606,"Отделкадр",'[1]Исходные данные'!$F$2:$F$606,"28")</f>
        <v>0</v>
      </c>
      <c r="BW6" s="11">
        <f>SUMIFS('[1]Исходные данные'!$J$2:$J$606,'[1]Исходные данные'!$D$2:$D$606,"Отделкадр",'[1]Исходные данные'!$F$2:$F$606,"28")</f>
        <v>0</v>
      </c>
      <c r="BX6" s="11">
        <f>SUMIFS('[1]Исходные данные'!$I$2:$I$606,'[1]Исходные данные'!$D$2:$D$606,"ЦИТС.",'[1]Исходные данные'!$F$2:$F$606,"28")</f>
        <v>0</v>
      </c>
      <c r="BY6" s="11">
        <f>SUMIFS('[1]Исходные данные'!$J$2:$J$606,'[1]Исходные данные'!$D$2:$D$606,"ЦИТС.",'[1]Исходные данные'!$F$2:$F$606,"28")</f>
        <v>0</v>
      </c>
      <c r="BZ6" s="11">
        <f>SUMIFS('[1]Исходные данные'!$I$2:$I$606,'[1]Исходные данные'!$D$2:$D$606,"ОБО",'[1]Исходные данные'!$F$2:$F$606,"28")</f>
        <v>0</v>
      </c>
      <c r="CA6" s="11">
        <f>SUMIFS('[1]Исходные данные'!$J$2:$J$606,'[1]Исходные данные'!$D$2:$D$606,"ОБО",'[1]Исходные данные'!$F$2:$F$606,"28")</f>
        <v>0</v>
      </c>
      <c r="CB6" s="11">
        <f>SUMIFS('[1]Исходные данные'!$I$2:$I$606,'[1]Исходные данные'!$D$2:$D$606,"УЖЭО",'[1]Исходные данные'!$F$2:$F$606,"28")</f>
        <v>0</v>
      </c>
      <c r="CC6" s="11">
        <f>SUMIFS('[1]Исходные данные'!$J$2:$J$606,'[1]Исходные данные'!$D$2:$D$606,"УЖЭО",'[1]Исходные данные'!$F$2:$F$606,"28")</f>
        <v>0</v>
      </c>
      <c r="CD6" s="11">
        <f>SUMIFS('[1]Исходные данные'!$I$2:$I$606,'[1]Исходные данные'!$D$2:$D$606,"Мухтар/Хамит",'[1]Исходные данные'!$F$2:$F$606,"28")</f>
        <v>0</v>
      </c>
      <c r="CE6" s="11">
        <f>SUMIFS('[1]Исходные данные'!$J$2:$J$606,'[1]Исходные данные'!$D$2:$D$606,"Мухтар/Хамит",'[1]Исходные данные'!$F$2:$F$606,"28")</f>
        <v>0</v>
      </c>
      <c r="CF6" s="11">
        <f>SUMIFS('[1]Исходные данные'!$I$2:$I$606,'[1]Исходные данные'!$D$2:$D$606,"ОБО-    СБ",'[1]Исходные данные'!$F$2:$F$606,"28")</f>
        <v>0</v>
      </c>
      <c r="CG6" s="11">
        <f>SUMIFS('[1]Исходные данные'!$J$2:$J$606,'[1]Исходные данные'!$D$2:$D$606,"ОБО-    СБ",'[1]Исходные данные'!$F$2:$F$606,"28")</f>
        <v>0</v>
      </c>
      <c r="CH6" s="11">
        <f>SUMIFS('[1]Исходные данные'!$I$2:$I$606,'[1]Исходные данные'!$D$2:$D$606,"РМУ 2",'[1]Исходные данные'!$F$2:$F$606,"28")</f>
        <v>0</v>
      </c>
      <c r="CI6" s="11">
        <f>SUMIFS('[1]Исходные данные'!$J$2:$J$606,'[1]Исходные данные'!$D$2:$D$606,"РМУ 2",'[1]Исходные данные'!$F$2:$F$606,"28")</f>
        <v>0</v>
      </c>
      <c r="CJ6" s="11">
        <f>SUMIFS('[1]Исходные данные'!$I$2:$I$606,'[1]Исходные данные'!$D$2:$D$606,"ГАПиИТ",'[1]Исходные данные'!$F$2:$F$606,"28")</f>
        <v>0</v>
      </c>
      <c r="CK6" s="11">
        <f>SUMIFS('[1]Исходные данные'!$J$2:$J$606,'[1]Исходные данные'!$D$2:$D$606,"ГАПиИТ",'[1]Исходные данные'!$F$2:$F$606,"28")</f>
        <v>0</v>
      </c>
      <c r="CL6" s="11">
        <f>SUMIFS('[1]Исходные данные'!$I$2:$I$606,'[1]Исходные данные'!$D$2:$D$606,"ОМ",'[1]Исходные данные'!$F$2:$F$606,"28")</f>
        <v>0</v>
      </c>
      <c r="CM6" s="11">
        <f>SUMIFS('[1]Исходные данные'!$J$2:$J$606,'[1]Исходные данные'!$D$2:$D$606,"ОМ",'[1]Исходные данные'!$F$2:$F$606,"28")</f>
        <v>0</v>
      </c>
      <c r="CN6" s="11">
        <f>SUMIFS('[1]Исходные данные'!$I$2:$I$606,'[1]Исходные данные'!$D$2:$D$606,"оппоIR",'[1]Исходные данные'!$F$2:$F$606,"28")</f>
        <v>0</v>
      </c>
      <c r="CO6" s="11">
        <f>SUMIFS('[1]Исходные данные'!$J$2:$J$606,'[1]Исходные данные'!$D$2:$D$606,"оппоIR",'[1]Исходные данные'!$F$2:$F$606,"28")</f>
        <v>0</v>
      </c>
      <c r="CP6" s="11">
        <f>SUMIFS('[1]Исходные данные'!$I$2:$I$606,'[1]Исходные данные'!$D$2:$D$606,"Маркшейдер",'[1]Исходные данные'!$F$2:$F$606,"28")</f>
        <v>0</v>
      </c>
      <c r="CQ6" s="11">
        <f>SUMIFS('[1]Исходные данные'!$J$2:$J$606,'[1]Исходные данные'!$D$2:$D$606,"Маркшейдер",'[1]Исходные данные'!$F$2:$F$606,"28")</f>
        <v>0</v>
      </c>
      <c r="CR6" s="11">
        <f>SUMIFS('[1]Исходные данные'!$I$2:$I$606,'[1]Исходные данные'!$D$2:$D$606,"ПСО",'[1]Исходные данные'!$F$2:$F$606,"28")</f>
        <v>0</v>
      </c>
      <c r="CS6" s="11">
        <f>SUMIFS('[1]Исходные данные'!$J$2:$J$606,'[1]Исходные данные'!$D$2:$D$606,"ПСО",'[1]Исходные данные'!$F$2:$F$606,"28")</f>
        <v>0</v>
      </c>
    </row>
    <row r="7" spans="1:97" x14ac:dyDescent="0.25">
      <c r="A7" s="8" t="s">
        <v>59</v>
      </c>
      <c r="B7" s="9" t="s">
        <v>60</v>
      </c>
      <c r="C7" s="10">
        <f t="shared" si="0"/>
        <v>21</v>
      </c>
      <c r="D7" s="10">
        <f t="shared" si="1"/>
        <v>14</v>
      </c>
      <c r="E7" s="10">
        <f t="shared" si="1"/>
        <v>7</v>
      </c>
      <c r="F7" s="9">
        <f>SUMIFS('[1]Исходные данные'!$I$2:$I$606,'[1]Исходные данные'!$D$2:$D$606,"ЦДН-1",'[1]Исходные данные'!$F$2:$F$606,"22")</f>
        <v>1</v>
      </c>
      <c r="G7" s="9">
        <f>SUMIFS('[1]Исходные данные'!$J$2:$J$606,'[1]Исходные данные'!$D$2:$D$606,"ЦДН-1",'[1]Исходные данные'!$F$2:$F$606,"22")</f>
        <v>0</v>
      </c>
      <c r="H7" s="9">
        <f>SUMIFS('[1]Исходные данные'!$I$2:$I$606,'[1]Исходные данные'!$D$2:$D$606,"ЦДН-2",'[1]Исходные данные'!$F$2:$F$606,"22")</f>
        <v>1</v>
      </c>
      <c r="I7" s="9">
        <f>SUMIFS('[1]Исходные данные'!$J$2:$J$606,'[1]Исходные данные'!$D$2:$D$606,"ЦДН-2",'[1]Исходные данные'!$F$2:$F$606,"22")</f>
        <v>0</v>
      </c>
      <c r="J7" s="9">
        <f>SUMIFS('[1]Исходные данные'!$I$2:$I$606,'[1]Исходные данные'!$D$2:$D$606,"ЦДН-3",'[1]Исходные данные'!$F$2:$F$606,"22")</f>
        <v>1</v>
      </c>
      <c r="K7" s="9">
        <f>SUMIFS('[1]Исходные данные'!$J$2:$J$606,'[1]Исходные данные'!$D$2:$D$606,"ЦДН-3",'[1]Исходные данные'!$F$2:$F$606,"22")</f>
        <v>0</v>
      </c>
      <c r="L7" s="9">
        <f>SUMIFS('[1]Исходные данные'!$I$2:$I$606,'[1]Исходные данные'!$D$2:$D$606,"ЦППН",'[1]Исходные данные'!$F$2:$F$606,"22")</f>
        <v>0</v>
      </c>
      <c r="M7" s="9">
        <f>SUMIFS('[1]Исходные данные'!$J$2:$J$606,'[1]Исходные данные'!$D$2:$D$606,"ЦППН",'[1]Исходные данные'!$F$2:$F$606,"22")</f>
        <v>0</v>
      </c>
      <c r="N7" s="9">
        <f>SUMIFS('[1]Исходные данные'!$I$2:$I$606,'[1]Исходные данные'!$D$2:$D$606,"ЦППД",'[1]Исходные данные'!$F$2:$F$606,"22")</f>
        <v>0</v>
      </c>
      <c r="O7" s="9">
        <f>SUMIFS('[1]Исходные данные'!$J$2:$J$606,'[1]Исходные данные'!$D$2:$D$606,"ЦППД",'[1]Исходные данные'!$F$2:$F$606,"22")</f>
        <v>0</v>
      </c>
      <c r="P7" s="9">
        <f>SUMIFS('[1]Исходные данные'!$I$2:$I$606,'[1]Исходные данные'!$D$2:$D$606,"ЭЦ",'[1]Исходные данные'!$F$2:$F$606,"22")</f>
        <v>0</v>
      </c>
      <c r="Q7" s="9">
        <f>SUMIFS('[1]Исходные данные'!$J$2:$J$606,'[1]Исходные данные'!$D$2:$D$606,"ЭЦ",'[1]Исходные данные'!$F$2:$F$606,"22")</f>
        <v>0</v>
      </c>
      <c r="R7" s="9">
        <f>SUMIFS('[1]Исходные данные'!$I$2:$I$606,'[1]Исходные данные'!$D$2:$D$606,"ОКС",'[1]Исходные данные'!$F$2:$F$606,"22")</f>
        <v>0</v>
      </c>
      <c r="S7" s="9">
        <f>SUMIFS('[1]Исходные данные'!$J$2:$J$606,'[1]Исходные данные'!$D$2:$D$606,"ОКС",'[1]Исходные данные'!$F$2:$F$606,"22")</f>
        <v>0</v>
      </c>
      <c r="T7" s="9">
        <f>SUMIFS('[1]Исходные данные'!$I$2:$I$606,'[1]Исходные данные'!$D$2:$D$606,"РСЦ",'[1]Исходные данные'!$F$2:$F$606,"22")</f>
        <v>0</v>
      </c>
      <c r="U7" s="9">
        <f>SUMIFS('[1]Исходные данные'!$J$2:$J$606,'[1]Исходные данные'!$D$2:$D$606,"РСЦ",'[1]Исходные данные'!$F$2:$F$606,"22")</f>
        <v>0</v>
      </c>
      <c r="V7" s="9">
        <f>SUMIFS('[1]Исходные данные'!$I$2:$I$606,'[1]Исходные данные'!$D$2:$D$606,"ЦИТС",'[1]Исходные данные'!$F$2:$F$606,"22")</f>
        <v>0</v>
      </c>
      <c r="W7" s="9">
        <f>SUMIFS('[1]Исходные данные'!$J$2:$J$606,'[1]Исходные данные'!$D$2:$D$606,"ЦИТС",'[1]Исходные данные'!$F$2:$F$606,"22")</f>
        <v>0</v>
      </c>
      <c r="X7" s="9">
        <f>SUMIFS('[1]Исходные данные'!$I$2:$I$606,'[1]Исходные данные'!$D$2:$D$606,"ПРЦЭО",'[1]Исходные данные'!$F$2:$F$606,"22")</f>
        <v>0</v>
      </c>
      <c r="Y7" s="9">
        <f>SUMIFS('[1]Исходные данные'!$J$2:$J$606,'[1]Исходные данные'!$D$2:$D$606,"ПРЦЭО",'[1]Исходные данные'!$F$2:$F$606,"22")</f>
        <v>0</v>
      </c>
      <c r="Z7" s="9">
        <f>SUMIFS('[1]Исходные данные'!$I$2:$I$606,'[1]Исходные данные'!$D$2:$D$606,"ГЦ",'[1]Исходные данные'!$F$2:$F$606,"22")</f>
        <v>0</v>
      </c>
      <c r="AA7" s="9">
        <f>SUMIFS('[1]Исходные данные'!$J$2:$J$606,'[1]Исходные данные'!$D$2:$D$606,"ГЦ",'[1]Исходные данные'!$F$2:$F$606,"22")</f>
        <v>0</v>
      </c>
      <c r="AB7" s="9">
        <f>SUMIFS('[1]Исходные данные'!$I$2:$I$606,'[1]Исходные данные'!$D$2:$D$606,"ЦПП",'[1]Исходные данные'!$F$2:$F$606,"22")</f>
        <v>0</v>
      </c>
      <c r="AC7" s="9">
        <f>SUMIFS('[1]Исходные данные'!$J$2:$J$606,'[1]Исходные данные'!$D$2:$D$606,"ЦПП",'[1]Исходные данные'!$F$2:$F$606,"22")</f>
        <v>0</v>
      </c>
      <c r="AD7" s="9">
        <f>SUMIFS('[1]Исходные данные'!$I$2:$I$606,'[1]Исходные данные'!$D$2:$D$606,"БМТС",'[1]Исходные данные'!$F$2:$F$606,"22")</f>
        <v>2</v>
      </c>
      <c r="AE7" s="9">
        <f>SUMIFS('[1]Исходные данные'!$J$2:$J$606,'[1]Исходные данные'!$D$2:$D$606,"БМТС",'[1]Исходные данные'!$F$2:$F$606,"22")</f>
        <v>0</v>
      </c>
      <c r="AF7" s="9">
        <f>SUMIFS('[1]Исходные данные'!$I$2:$I$606,'[1]Исходные данные'!$D$2:$D$606,"УБиПКРС-1",'[1]Исходные данные'!$F$2:$F$606,"22")</f>
        <v>4</v>
      </c>
      <c r="AG7" s="9">
        <f>SUMIFS('[1]Исходные данные'!$J$2:$J$606,'[1]Исходные данные'!$D$2:$D$606,"УБиПКРС-1",'[1]Исходные данные'!$F$2:$F$606,"22")</f>
        <v>4</v>
      </c>
      <c r="AH7" s="9">
        <f>SUMIFS('[1]Исходные данные'!$I$2:$I$606,'[1]Исходные данные'!$D$2:$D$606,"УБиПКРС-2",'[1]Исходные данные'!$F$2:$F$606,"22")</f>
        <v>3</v>
      </c>
      <c r="AI7" s="9">
        <f>SUMIFS('[1]Исходные данные'!$J$2:$J$606,'[1]Исходные данные'!$D$2:$D$606,"УБиПКРС-2",'[1]Исходные данные'!$F$2:$F$606,"22")</f>
        <v>3</v>
      </c>
      <c r="AJ7" s="11">
        <f>SUMIFS('[1]Исходные данные'!$I$2:$I$606,'[1]Исходные данные'!$D$2:$D$606,"ДТТ-1",'[1]Исходные данные'!$F$2:$F$606,"22")</f>
        <v>0</v>
      </c>
      <c r="AK7" s="11">
        <f>SUMIFS('[1]Исходные данные'!$J$2:$J$606,'[1]Исходные данные'!$D$2:$D$606,"ДТТ-1",'[1]Исходные данные'!$F$2:$F$606,"22")</f>
        <v>0</v>
      </c>
      <c r="AL7" s="11">
        <f>SUMIFS('[1]Исходные данные'!$I$2:$I$606,'[1]Исходные данные'!$D$2:$D$606,"ЦНИПР",'[1]Исходные данные'!$F$2:$F$606,"22")</f>
        <v>0</v>
      </c>
      <c r="AM7" s="11">
        <f>SUMIFS('[1]Исходные данные'!$J$2:$J$606,'[1]Исходные данные'!$D$2:$D$606,"ЦНИПР",'[1]Исходные данные'!$F$2:$F$606,"22")</f>
        <v>0</v>
      </c>
      <c r="AN7" s="11">
        <f>SUMIFS('[1]Исходные данные'!$I$2:$I$606,'[1]Исходные данные'!$D$2:$D$606,"ОБиПКРС",'[1]Исходные данные'!$F$2:$F$606,"22")</f>
        <v>0</v>
      </c>
      <c r="AO7" s="11">
        <f>SUMIFS('[1]Исходные данные'!$J$2:$J$606,'[1]Исходные данные'!$D$2:$D$606,"ОБиПКРС",'[1]Исходные данные'!$F$2:$F$606,"22")</f>
        <v>0</v>
      </c>
      <c r="AP7" s="11">
        <f>SUMIFS('[1]Исходные данные'!$I$2:$I$606,'[1]Исходные данные'!$D$2:$D$606,"ЦАП",'[1]Исходные данные'!$F$2:$F$606,"22")</f>
        <v>0</v>
      </c>
      <c r="AQ7" s="11">
        <f>SUMIFS('[1]Исходные данные'!$J$2:$J$606,'[1]Исходные данные'!$D$2:$D$606,"ЦАП",'[1]Исходные данные'!$F$2:$F$606,"22")</f>
        <v>0</v>
      </c>
      <c r="AR7" s="11">
        <f>SUMIFS('[1]Исходные данные'!$I$2:$I$606,'[1]Исходные данные'!$D$2:$D$606,"ГООС",'[1]Исходные данные'!$F$2:$F$606,"22")</f>
        <v>0</v>
      </c>
      <c r="AS7" s="11">
        <f>SUMIFS('[1]Исходные данные'!$J$2:$J$606,'[1]Исходные данные'!$D$2:$D$606,"ГООС",'[1]Исходные данные'!$F$2:$F$606,"22")</f>
        <v>0</v>
      </c>
      <c r="AT7" s="11">
        <f>SUMIFS('[1]Исходные данные'!$I$2:$I$606,'[1]Исходные данные'!$D$2:$D$606,"Ақкетік",'[1]Исходные данные'!$F$2:$F$606,"22")</f>
        <v>2</v>
      </c>
      <c r="AU7" s="11">
        <f>SUMIFS('[1]Исходные данные'!$J$2:$J$606,'[1]Исходные данные'!$D$2:$D$606,"Ақкетік",'[1]Исходные данные'!$F$2:$F$606,"22")</f>
        <v>0</v>
      </c>
      <c r="AV7" s="11">
        <f>SUMIFS('[1]Исходные данные'!$I$2:$I$606,'[1]Исходные данные'!$D$2:$D$606,"Нейрон",'[1]Исходные данные'!$F$2:$F$606,"22")</f>
        <v>0</v>
      </c>
      <c r="AW7" s="11">
        <f>SUMIFS('[1]Исходные данные'!$J$2:$J$606,'[1]Исходные данные'!$D$2:$D$606,"Нейрон",'[1]Исходные данные'!$F$2:$F$606,"22")</f>
        <v>0</v>
      </c>
      <c r="AX7" s="11">
        <f>SUMIFS('[1]Исходные данные'!$I$2:$I$606,'[1]Исходные данные'!$D$2:$D$606,"Бурение",'[1]Исходные данные'!$F$2:$F$606,"22")</f>
        <v>0</v>
      </c>
      <c r="AY7" s="11">
        <f>SUMIFS('[1]Исходные данные'!$J$2:$J$606,'[1]Исходные данные'!$D$2:$D$606,"Бурение",'[1]Исходные данные'!$F$2:$F$606,"22")</f>
        <v>0</v>
      </c>
      <c r="AZ7" s="11">
        <f>SUMIFS('[1]Исходные данные'!$I$2:$I$606,'[1]Исходные данные'!$D$2:$D$606,"ЦТВС",'[1]Исходные данные'!$F$2:$F$606,"22")</f>
        <v>0</v>
      </c>
      <c r="BA7" s="11">
        <f>SUMIFS('[1]Исходные данные'!$J$2:$J$606,'[1]Исходные данные'!$D$2:$D$606,"ЦТВС",'[1]Исходные данные'!$F$2:$F$606,"22")</f>
        <v>0</v>
      </c>
      <c r="BB7" s="11">
        <f>SUMIFS('[1]Исходные данные'!$I$2:$I$606,'[1]Исходные данные'!$D$2:$D$606,"ТБ",'[1]Исходные данные'!$F$2:$F$606,"22")</f>
        <v>0</v>
      </c>
      <c r="BC7" s="11">
        <f>SUMIFS('[1]Исходные данные'!$J$2:$J$606,'[1]Исходные данные'!$D$2:$D$606,"ТБ",'[1]Исходные данные'!$F$2:$F$606,"22")</f>
        <v>0</v>
      </c>
      <c r="BD7" s="11">
        <f>SUMIFS('[1]Исходные данные'!$I$2:$I$606,'[1]Исходные данные'!$D$2:$D$606,"ОТДН",'[1]Исходные данные'!$F$2:$F$606,"22")</f>
        <v>0</v>
      </c>
      <c r="BE7" s="11">
        <f>SUMIFS('[1]Исходные данные'!$J$2:$J$606,'[1]Исходные данные'!$D$2:$D$606,"ОТДН",'[1]Исходные данные'!$F$2:$F$606,"22")</f>
        <v>0</v>
      </c>
      <c r="BF7" s="11">
        <f>SUMIFS('[1]Исходные данные'!$I$2:$I$606,'[1]Исходные данные'!$D$2:$D$606,"ПЧ-Семсер",'[1]Исходные данные'!$F$2:$F$606,"22")</f>
        <v>0</v>
      </c>
      <c r="BG7" s="11">
        <f>SUMIFS('[1]Исходные данные'!$J$2:$J$606,'[1]Исходные данные'!$D$2:$D$606,"ПЧ-Семсер",'[1]Исходные данные'!$F$2:$F$606,"22")</f>
        <v>0</v>
      </c>
      <c r="BH7" s="11">
        <f>SUMIFS('[1]Исходные данные'!$I$2:$I$606,'[1]Исходные данные'!$D$2:$D$606,"ПРЦЭО(2)",'[1]Исходные данные'!$F$2:$F$606,"22")</f>
        <v>0</v>
      </c>
      <c r="BI7" s="11">
        <f>SUMIFS('[1]Исходные данные'!$J$2:$J$606,'[1]Исходные данные'!$D$2:$D$606,"ПРЦЭО(2)",'[1]Исходные данные'!$F$2:$F$606,"22")</f>
        <v>0</v>
      </c>
      <c r="BJ7" s="11">
        <f>SUMIFS('[1]Исходные данные'!$I$2:$I$606,'[1]Исходные данные'!$D$2:$D$606,"БД",'[1]Исходные данные'!$F$2:$F$606,"22")</f>
        <v>0</v>
      </c>
      <c r="BK7" s="11">
        <f>SUMIFS('[1]Исходные данные'!$J$2:$J$606,'[1]Исходные данные'!$D$2:$D$606,"БД",'[1]Исходные данные'!$F$2:$F$606,"22")</f>
        <v>0</v>
      </c>
      <c r="BL7" s="11">
        <f>SUMIFS('[1]Исходные данные'!$I$2:$I$606,'[1]Исходные данные'!$D$2:$D$606,"ОГиР",'[1]Исходные данные'!$F$2:$F$606,"22")</f>
        <v>0</v>
      </c>
      <c r="BM7" s="11">
        <f>SUMIFS('[1]Исходные данные'!$J$2:$J$606,'[1]Исходные данные'!$D$2:$D$606,"ОГиР",'[1]Исходные данные'!$F$2:$F$606,"22")</f>
        <v>0</v>
      </c>
      <c r="BN7" s="11">
        <f>SUMIFS('[1]Исходные данные'!$I$2:$I$606,'[1]Исходные данные'!$D$2:$D$606,"ГСРиВК",'[1]Исходные данные'!$F$2:$F$606,"22")</f>
        <v>0</v>
      </c>
      <c r="BO7" s="11">
        <f>SUMIFS('[1]Исходные данные'!$J$2:$J$606,'[1]Исходные данные'!$D$2:$D$606,"ГСРиВК",'[1]Исходные данные'!$F$2:$F$606,"22")</f>
        <v>0</v>
      </c>
      <c r="BP7" s="11">
        <f>SUMIFS('[1]Исходные данные'!$I$2:$I$606,'[1]Исходные данные'!$D$2:$D$606,"МПГУ",'[1]Исходные данные'!$F$2:$F$606,"22")</f>
        <v>0</v>
      </c>
      <c r="BQ7" s="11">
        <f>SUMIFS('[1]Исходные данные'!$J$2:$J$606,'[1]Исходные данные'!$D$2:$D$606,"МПГУ",'[1]Исходные данные'!$F$2:$F$606,"22")</f>
        <v>0</v>
      </c>
      <c r="BR7" s="11">
        <f>SUMIFS('[1]Исходные данные'!$I$2:$I$606,'[1]Исходные данные'!$D$2:$D$606,"БПО 2",'[1]Исходные данные'!$F$2:$F$606,"22")</f>
        <v>0</v>
      </c>
      <c r="BS7" s="11">
        <f>SUMIFS('[1]Исходные данные'!$J$2:$J$606,'[1]Исходные данные'!$D$2:$D$606,"БПО 2",'[1]Исходные данные'!$F$2:$F$606,"22")</f>
        <v>0</v>
      </c>
      <c r="BT7" s="11">
        <f>SUMIFS('[1]Исходные данные'!$I$2:$I$606,'[1]Исходные данные'!$D$2:$D$606,"ЛД",'[1]Исходные данные'!$F$2:$F$606,"22")</f>
        <v>0</v>
      </c>
      <c r="BU7" s="11">
        <f>SUMIFS('[1]Исходные данные'!$J$2:$J$606,'[1]Исходные данные'!$D$2:$D$606,"ЛД",'[1]Исходные данные'!$F$2:$F$606,"22")</f>
        <v>0</v>
      </c>
      <c r="BV7" s="11">
        <f>SUMIFS('[1]Исходные данные'!$I$2:$I$606,'[1]Исходные данные'!$D$2:$D$606,"Отделкадр",'[1]Исходные данные'!$F$2:$F$606,"22")</f>
        <v>0</v>
      </c>
      <c r="BW7" s="11">
        <f>SUMIFS('[1]Исходные данные'!$J$2:$J$606,'[1]Исходные данные'!$D$2:$D$606,"Отделкадр",'[1]Исходные данные'!$F$2:$F$606,"22")</f>
        <v>0</v>
      </c>
      <c r="BX7" s="11">
        <f>SUMIFS('[1]Исходные данные'!$I$2:$I$606,'[1]Исходные данные'!$D$2:$D$606,"ЦИТС.",'[1]Исходные данные'!$F$2:$F$606,"22")</f>
        <v>0</v>
      </c>
      <c r="BY7" s="11">
        <f>SUMIFS('[1]Исходные данные'!$J$2:$J$606,'[1]Исходные данные'!$D$2:$D$606,"ЦИТС.",'[1]Исходные данные'!$F$2:$F$606,"22")</f>
        <v>0</v>
      </c>
      <c r="BZ7" s="11">
        <f>SUMIFS('[1]Исходные данные'!$I$2:$I$606,'[1]Исходные данные'!$D$2:$D$606,"ОБО",'[1]Исходные данные'!$F$2:$F$606,"22")</f>
        <v>0</v>
      </c>
      <c r="CA7" s="11">
        <f>SUMIFS('[1]Исходные данные'!$J$2:$J$606,'[1]Исходные данные'!$D$2:$D$606,"ОБО",'[1]Исходные данные'!$F$2:$F$606,"22")</f>
        <v>0</v>
      </c>
      <c r="CB7" s="11">
        <f>SUMIFS('[1]Исходные данные'!$I$2:$I$606,'[1]Исходные данные'!$D$2:$D$606,"УЖЭО",'[1]Исходные данные'!$F$2:$F$606,"22")</f>
        <v>0</v>
      </c>
      <c r="CC7" s="11">
        <f>SUMIFS('[1]Исходные данные'!$J$2:$J$606,'[1]Исходные данные'!$D$2:$D$606,"УЖЭО",'[1]Исходные данные'!$F$2:$F$606,"22")</f>
        <v>0</v>
      </c>
      <c r="CD7" s="11">
        <f>SUMIFS('[1]Исходные данные'!$I$2:$I$606,'[1]Исходные данные'!$D$2:$D$606,"Мухтар/Хамит",'[1]Исходные данные'!$F$2:$F$606,"22")</f>
        <v>0</v>
      </c>
      <c r="CE7" s="11">
        <f>SUMIFS('[1]Исходные данные'!$J$2:$J$606,'[1]Исходные данные'!$D$2:$D$606,"Мухтар/Хамит",'[1]Исходные данные'!$F$2:$F$606,"22")</f>
        <v>0</v>
      </c>
      <c r="CF7" s="11">
        <f>SUMIFS('[1]Исходные данные'!$I$2:$I$606,'[1]Исходные данные'!$D$2:$D$606,"ОБО-    СБ",'[1]Исходные данные'!$F$2:$F$606,"22")</f>
        <v>0</v>
      </c>
      <c r="CG7" s="11">
        <f>SUMIFS('[1]Исходные данные'!$J$2:$J$606,'[1]Исходные данные'!$D$2:$D$606,"ОБО-    СБ",'[1]Исходные данные'!$F$2:$F$606,"22")</f>
        <v>0</v>
      </c>
      <c r="CH7" s="11">
        <f>SUMIFS('[1]Исходные данные'!$I$2:$I$606,'[1]Исходные данные'!$D$2:$D$606,"РМУ 2",'[1]Исходные данные'!$F$2:$F$606,"22")</f>
        <v>0</v>
      </c>
      <c r="CI7" s="11">
        <f>SUMIFS('[1]Исходные данные'!$J$2:$J$606,'[1]Исходные данные'!$D$2:$D$606,"РМУ 2",'[1]Исходные данные'!$F$2:$F$606,"22")</f>
        <v>0</v>
      </c>
      <c r="CJ7" s="11">
        <f>SUMIFS('[1]Исходные данные'!$I$2:$I$606,'[1]Исходные данные'!$D$2:$D$606,"ГАПиИТ",'[1]Исходные данные'!$F$2:$F$606,"22")</f>
        <v>0</v>
      </c>
      <c r="CK7" s="11">
        <f>SUMIFS('[1]Исходные данные'!$J$2:$J$606,'[1]Исходные данные'!$D$2:$D$606,"ГАПиИТ",'[1]Исходные данные'!$F$2:$F$606,"22")</f>
        <v>0</v>
      </c>
      <c r="CL7" s="11">
        <f>SUMIFS('[1]Исходные данные'!$I$2:$I$606,'[1]Исходные данные'!$D$2:$D$606,"ОМ",'[1]Исходные данные'!$F$2:$F$606,"22")</f>
        <v>0</v>
      </c>
      <c r="CM7" s="11">
        <f>SUMIFS('[1]Исходные данные'!$J$2:$J$606,'[1]Исходные данные'!$D$2:$D$606,"ОМ",'[1]Исходные данные'!$F$2:$F$606,"22")</f>
        <v>0</v>
      </c>
      <c r="CN7" s="11">
        <f>SUMIFS('[1]Исходные данные'!$I$2:$I$606,'[1]Исходные данные'!$D$2:$D$606,"оппоIR",'[1]Исходные данные'!$F$2:$F$606,"22")</f>
        <v>0</v>
      </c>
      <c r="CO7" s="11">
        <f>SUMIFS('[1]Исходные данные'!$J$2:$J$606,'[1]Исходные данные'!$D$2:$D$606,"оппоIR",'[1]Исходные данные'!$F$2:$F$606,"22")</f>
        <v>0</v>
      </c>
      <c r="CP7" s="11">
        <f>SUMIFS('[1]Исходные данные'!$I$2:$I$606,'[1]Исходные данные'!$D$2:$D$606,"Маркшейдер",'[1]Исходные данные'!$F$2:$F$606,"22")</f>
        <v>0</v>
      </c>
      <c r="CQ7" s="11">
        <f>SUMIFS('[1]Исходные данные'!$J$2:$J$606,'[1]Исходные данные'!$D$2:$D$606,"Маркшейдер",'[1]Исходные данные'!$F$2:$F$606,"22")</f>
        <v>0</v>
      </c>
      <c r="CR7" s="11">
        <f>SUMIFS('[1]Исходные данные'!$I$2:$I$606,'[1]Исходные данные'!$D$2:$D$606,"ПСО",'[1]Исходные данные'!$F$2:$F$606,"22")</f>
        <v>0</v>
      </c>
      <c r="CS7" s="11">
        <f>SUMIFS('[1]Исходные данные'!$J$2:$J$606,'[1]Исходные данные'!$D$2:$D$606,"ПСО",'[1]Исходные данные'!$F$2:$F$606,"22")</f>
        <v>0</v>
      </c>
    </row>
    <row r="8" spans="1:97" x14ac:dyDescent="0.25">
      <c r="A8" s="8" t="s">
        <v>61</v>
      </c>
      <c r="B8" s="9" t="s">
        <v>62</v>
      </c>
      <c r="C8" s="10">
        <f t="shared" si="0"/>
        <v>9</v>
      </c>
      <c r="D8" s="10">
        <f t="shared" si="1"/>
        <v>8</v>
      </c>
      <c r="E8" s="10">
        <f t="shared" si="1"/>
        <v>1</v>
      </c>
      <c r="F8" s="9">
        <f>SUMIFS('[1]Исходные данные'!$I$2:$I$606,'[1]Исходные данные'!$D$2:$D$606,"ЦДН-1",'[1]Исходные данные'!$F$2:$F$606,"27")</f>
        <v>1</v>
      </c>
      <c r="G8" s="9">
        <f>SUMIFS('[1]Исходные данные'!$J$2:$J$606,'[1]Исходные данные'!$D$2:$D$606,"ЦДН-1",'[1]Исходные данные'!$F$2:$F$606,"27")</f>
        <v>0</v>
      </c>
      <c r="H8" s="9">
        <f>SUMIFS('[1]Исходные данные'!$I$2:$I$606,'[1]Исходные данные'!$D$2:$D$606,"ЦДН-2",'[1]Исходные данные'!$F$2:$F$606,"27")</f>
        <v>1</v>
      </c>
      <c r="I8" s="9">
        <f>SUMIFS('[1]Исходные данные'!$J$2:$J$606,'[1]Исходные данные'!$D$2:$D$606,"ЦДН-2",'[1]Исходные данные'!$F$2:$F$606,"27")</f>
        <v>0</v>
      </c>
      <c r="J8" s="9">
        <f>SUMIFS('[1]Исходные данные'!$I$2:$I$606,'[1]Исходные данные'!$D$2:$D$606,"ЦДН-3",'[1]Исходные данные'!$F$2:$F$606,"27")</f>
        <v>1</v>
      </c>
      <c r="K8" s="9">
        <f>SUMIFS('[1]Исходные данные'!$J$2:$J$606,'[1]Исходные данные'!$D$2:$D$606,"ЦДН-3",'[1]Исходные данные'!$F$2:$F$606,"27")</f>
        <v>0</v>
      </c>
      <c r="L8" s="9">
        <f>SUMIFS('[1]Исходные данные'!$I$2:$I$606,'[1]Исходные данные'!$D$2:$D$606,"ЦППН",'[1]Исходные данные'!$F$2:$F$606,"27")</f>
        <v>0</v>
      </c>
      <c r="M8" s="9">
        <f>SUMIFS('[1]Исходные данные'!$J$2:$J$606,'[1]Исходные данные'!$D$2:$D$606,"ЦППН",'[1]Исходные данные'!$F$2:$F$606,"27")</f>
        <v>0</v>
      </c>
      <c r="N8" s="9">
        <f>SUMIFS('[1]Исходные данные'!$I$2:$I$606,'[1]Исходные данные'!$D$2:$D$606,"ЦППД",'[1]Исходные данные'!$F$2:$F$606,"27")</f>
        <v>0</v>
      </c>
      <c r="O8" s="9">
        <f>SUMIFS('[1]Исходные данные'!$J$2:$J$606,'[1]Исходные данные'!$D$2:$D$606,"ЦППД",'[1]Исходные данные'!$F$2:$F$606,"27")</f>
        <v>0</v>
      </c>
      <c r="P8" s="9">
        <f>SUMIFS('[1]Исходные данные'!$I$2:$I$606,'[1]Исходные данные'!$D$2:$D$606,"ЭЦ",'[1]Исходные данные'!$F$2:$F$606,"27")</f>
        <v>1</v>
      </c>
      <c r="Q8" s="9">
        <f>SUMIFS('[1]Исходные данные'!$J$2:$J$606,'[1]Исходные данные'!$D$2:$D$606,"ЭЦ",'[1]Исходные данные'!$F$2:$F$606,"27")</f>
        <v>0</v>
      </c>
      <c r="R8" s="9">
        <f>SUMIFS('[1]Исходные данные'!$I$2:$I$606,'[1]Исходные данные'!$D$2:$D$606,"ОКС",'[1]Исходные данные'!$F$2:$F$606,"27")</f>
        <v>0</v>
      </c>
      <c r="S8" s="9">
        <f>SUMIFS('[1]Исходные данные'!$J$2:$J$606,'[1]Исходные данные'!$D$2:$D$606,"ОКС",'[1]Исходные данные'!$F$2:$F$606,"27")</f>
        <v>0</v>
      </c>
      <c r="T8" s="9">
        <f>SUMIFS('[1]Исходные данные'!$I$2:$I$606,'[1]Исходные данные'!$D$2:$D$606,"РСЦ",'[1]Исходные данные'!$F$2:$F$606,"27")</f>
        <v>1</v>
      </c>
      <c r="U8" s="9">
        <f>SUMIFS('[1]Исходные данные'!$J$2:$J$606,'[1]Исходные данные'!$D$2:$D$606,"РСЦ",'[1]Исходные данные'!$F$2:$F$606,"27")</f>
        <v>0</v>
      </c>
      <c r="V8" s="9">
        <f>SUMIFS('[1]Исходные данные'!$I$2:$I$606,'[1]Исходные данные'!$D$2:$D$606,"ЦИТС",'[1]Исходные данные'!$F$2:$F$606,"27")</f>
        <v>0</v>
      </c>
      <c r="W8" s="9">
        <f>SUMIFS('[1]Исходные данные'!$J$2:$J$606,'[1]Исходные данные'!$D$2:$D$606,"ЦИТС",'[1]Исходные данные'!$F$2:$F$606,"27")</f>
        <v>0</v>
      </c>
      <c r="X8" s="9">
        <f>SUMIFS('[1]Исходные данные'!$I$2:$I$606,'[1]Исходные данные'!$D$2:$D$606,"ПРЦЭО",'[1]Исходные данные'!$F$2:$F$606,"27")</f>
        <v>1</v>
      </c>
      <c r="Y8" s="9">
        <f>SUMIFS('[1]Исходные данные'!$J$2:$J$606,'[1]Исходные данные'!$D$2:$D$606,"ПРЦЭО",'[1]Исходные данные'!$F$2:$F$606,"27")</f>
        <v>0</v>
      </c>
      <c r="Z8" s="9">
        <f>SUMIFS('[1]Исходные данные'!$I$2:$I$606,'[1]Исходные данные'!$D$2:$D$606,"ГЦ",'[1]Исходные данные'!$F$2:$F$606,"27")</f>
        <v>0</v>
      </c>
      <c r="AA8" s="9">
        <f>SUMIFS('[1]Исходные данные'!$J$2:$J$606,'[1]Исходные данные'!$D$2:$D$606,"ГЦ",'[1]Исходные данные'!$F$2:$F$606,"27")</f>
        <v>0</v>
      </c>
      <c r="AB8" s="9">
        <f>SUMIFS('[1]Исходные данные'!$I$2:$I$606,'[1]Исходные данные'!$D$2:$D$606,"ЦПП",'[1]Исходные данные'!$F$2:$F$606,"27")</f>
        <v>1</v>
      </c>
      <c r="AC8" s="9">
        <f>SUMIFS('[1]Исходные данные'!$J$2:$J$606,'[1]Исходные данные'!$D$2:$D$606,"ЦПП",'[1]Исходные данные'!$F$2:$F$606,"27")</f>
        <v>0</v>
      </c>
      <c r="AD8" s="9">
        <f>SUMIFS('[1]Исходные данные'!$I$2:$I$606,'[1]Исходные данные'!$D$2:$D$606,"БМТС",'[1]Исходные данные'!$F$2:$F$606,"27")</f>
        <v>0</v>
      </c>
      <c r="AE8" s="9">
        <f>SUMIFS('[1]Исходные данные'!$J$2:$J$606,'[1]Исходные данные'!$D$2:$D$606,"БМТС",'[1]Исходные данные'!$F$2:$F$606,"27")</f>
        <v>0</v>
      </c>
      <c r="AF8" s="9">
        <f>SUMIFS('[1]Исходные данные'!$I$2:$I$606,'[1]Исходные данные'!$D$2:$D$606,"УБиПКРС-1",'[1]Исходные данные'!$F$2:$F$606,"27")</f>
        <v>0</v>
      </c>
      <c r="AG8" s="9">
        <f>SUMIFS('[1]Исходные данные'!$J$2:$J$606,'[1]Исходные данные'!$D$2:$D$606,"УБиПКРС-1",'[1]Исходные данные'!$F$2:$F$606,"27")</f>
        <v>0</v>
      </c>
      <c r="AH8" s="9">
        <f>SUMIFS('[1]Исходные данные'!$I$2:$I$606,'[1]Исходные данные'!$D$2:$D$606,"УБиПКРС-2",'[1]Исходные данные'!$F$2:$F$606,"27")</f>
        <v>1</v>
      </c>
      <c r="AI8" s="9">
        <f>SUMIFS('[1]Исходные данные'!$J$2:$J$606,'[1]Исходные данные'!$D$2:$D$606,"УБиПКРС-2",'[1]Исходные данные'!$F$2:$F$606,"27")</f>
        <v>1</v>
      </c>
      <c r="AJ8" s="11">
        <f>SUMIFS('[1]Исходные данные'!$I$2:$I$606,'[1]Исходные данные'!$D$2:$D$606,"ДТТ-1",'[1]Исходные данные'!$F$2:$F$606,"27")</f>
        <v>0</v>
      </c>
      <c r="AK8" s="11">
        <f>SUMIFS('[1]Исходные данные'!$J$2:$J$606,'[1]Исходные данные'!$D$2:$D$606,"ДТТ-1",'[1]Исходные данные'!$F$2:$F$606,"27")</f>
        <v>0</v>
      </c>
      <c r="AL8" s="11">
        <f>SUMIFS('[1]Исходные данные'!$I$2:$I$606,'[1]Исходные данные'!$D$2:$D$606,"ЦНИПР",'[1]Исходные данные'!$F$2:$F$606,"27")</f>
        <v>0</v>
      </c>
      <c r="AM8" s="11">
        <f>SUMIFS('[1]Исходные данные'!$J$2:$J$606,'[1]Исходные данные'!$D$2:$D$606,"ЦНИПР",'[1]Исходные данные'!$F$2:$F$606,"27")</f>
        <v>0</v>
      </c>
      <c r="AN8" s="11">
        <f>SUMIFS('[1]Исходные данные'!$I$2:$I$606,'[1]Исходные данные'!$D$2:$D$606,"ОБиПКРС",'[1]Исходные данные'!$F$2:$F$606,"27")</f>
        <v>0</v>
      </c>
      <c r="AO8" s="11">
        <f>SUMIFS('[1]Исходные данные'!$J$2:$J$606,'[1]Исходные данные'!$D$2:$D$606,"ОБиПКРС",'[1]Исходные данные'!$F$2:$F$606,"27")</f>
        <v>0</v>
      </c>
      <c r="AP8" s="11">
        <f>SUMIFS('[1]Исходные данные'!$I$2:$I$606,'[1]Исходные данные'!$D$2:$D$606,"ЦАП",'[1]Исходные данные'!$F$2:$F$606,"27")</f>
        <v>0</v>
      </c>
      <c r="AQ8" s="11">
        <f>SUMIFS('[1]Исходные данные'!$J$2:$J$606,'[1]Исходные данные'!$D$2:$D$606,"ЦАП",'[1]Исходные данные'!$F$2:$F$606,"27")</f>
        <v>0</v>
      </c>
      <c r="AR8" s="11">
        <f>SUMIFS('[1]Исходные данные'!$I$2:$I$606,'[1]Исходные данные'!$D$2:$D$606,"ГООС",'[1]Исходные данные'!$F$2:$F$606,"27")</f>
        <v>0</v>
      </c>
      <c r="AS8" s="11">
        <f>SUMIFS('[1]Исходные данные'!$J$2:$J$606,'[1]Исходные данные'!$D$2:$D$606,"ГООС",'[1]Исходные данные'!$F$2:$F$606,"27")</f>
        <v>0</v>
      </c>
      <c r="AT8" s="11">
        <f>SUMIFS('[1]Исходные данные'!$I$2:$I$606,'[1]Исходные данные'!$D$2:$D$606,"Ақкетік",'[1]Исходные данные'!$F$2:$F$606,"27")</f>
        <v>0</v>
      </c>
      <c r="AU8" s="11">
        <f>SUMIFS('[1]Исходные данные'!$J$2:$J$606,'[1]Исходные данные'!$D$2:$D$606,"Ақкетік",'[1]Исходные данные'!$F$2:$F$606,"27")</f>
        <v>0</v>
      </c>
      <c r="AV8" s="11">
        <f>SUMIFS('[1]Исходные данные'!$I$2:$I$606,'[1]Исходные данные'!$D$2:$D$606,"Нейрон",'[1]Исходные данные'!$F$2:$F$606,"27")</f>
        <v>0</v>
      </c>
      <c r="AW8" s="11">
        <f>SUMIFS('[1]Исходные данные'!$J$2:$J$606,'[1]Исходные данные'!$D$2:$D$606,"Нейрон",'[1]Исходные данные'!$F$2:$F$606,"27")</f>
        <v>0</v>
      </c>
      <c r="AX8" s="11">
        <f>SUMIFS('[1]Исходные данные'!$I$2:$I$606,'[1]Исходные данные'!$D$2:$D$606,"Бурение",'[1]Исходные данные'!$F$2:$F$606,"27")</f>
        <v>0</v>
      </c>
      <c r="AY8" s="11">
        <f>SUMIFS('[1]Исходные данные'!$J$2:$J$606,'[1]Исходные данные'!$D$2:$D$606,"Бурение",'[1]Исходные данные'!$F$2:$F$606,"27")</f>
        <v>0</v>
      </c>
      <c r="AZ8" s="11">
        <f>SUMIFS('[1]Исходные данные'!$I$2:$I$606,'[1]Исходные данные'!$D$2:$D$606,"ЦТВС",'[1]Исходные данные'!$F$2:$F$606,"27")</f>
        <v>0</v>
      </c>
      <c r="BA8" s="11">
        <f>SUMIFS('[1]Исходные данные'!$J$2:$J$606,'[1]Исходные данные'!$D$2:$D$606,"ЦТВС",'[1]Исходные данные'!$F$2:$F$606,"27")</f>
        <v>0</v>
      </c>
      <c r="BB8" s="11">
        <f>SUMIFS('[1]Исходные данные'!$I$2:$I$606,'[1]Исходные данные'!$D$2:$D$606,"ТБ",'[1]Исходные данные'!$F$2:$F$606,"27")</f>
        <v>0</v>
      </c>
      <c r="BC8" s="11">
        <f>SUMIFS('[1]Исходные данные'!$J$2:$J$606,'[1]Исходные данные'!$D$2:$D$606,"ТБ",'[1]Исходные данные'!$F$2:$F$606,"27")</f>
        <v>0</v>
      </c>
      <c r="BD8" s="11">
        <f>SUMIFS('[1]Исходные данные'!$I$2:$I$606,'[1]Исходные данные'!$D$2:$D$606,"ОТДН",'[1]Исходные данные'!$F$2:$F$606,"27")</f>
        <v>0</v>
      </c>
      <c r="BE8" s="11">
        <f>SUMIFS('[1]Исходные данные'!$J$2:$J$606,'[1]Исходные данные'!$D$2:$D$606,"ОТДН",'[1]Исходные данные'!$F$2:$F$606,"27")</f>
        <v>0</v>
      </c>
      <c r="BF8" s="11">
        <f>SUMIFS('[1]Исходные данные'!$I$2:$I$606,'[1]Исходные данные'!$D$2:$D$606,"ПЧ-Семсер",'[1]Исходные данные'!$F$2:$F$606,"27")</f>
        <v>0</v>
      </c>
      <c r="BG8" s="11">
        <f>SUMIFS('[1]Исходные данные'!$J$2:$J$606,'[1]Исходные данные'!$D$2:$D$606,"ПЧ-Семсер",'[1]Исходные данные'!$F$2:$F$606,"27")</f>
        <v>0</v>
      </c>
      <c r="BH8" s="11">
        <f>SUMIFS('[1]Исходные данные'!$I$2:$I$606,'[1]Исходные данные'!$D$2:$D$606,"ПРЦЭО(2)",'[1]Исходные данные'!$F$2:$F$606,"27")</f>
        <v>0</v>
      </c>
      <c r="BI8" s="11">
        <f>SUMIFS('[1]Исходные данные'!$J$2:$J$606,'[1]Исходные данные'!$D$2:$D$606,"ПРЦЭО(2)",'[1]Исходные данные'!$F$2:$F$606,"27")</f>
        <v>0</v>
      </c>
      <c r="BJ8" s="11">
        <f>SUMIFS('[1]Исходные данные'!$I$2:$I$606,'[1]Исходные данные'!$D$2:$D$606,"БД",'[1]Исходные данные'!$F$2:$F$606,"27")</f>
        <v>0</v>
      </c>
      <c r="BK8" s="11">
        <f>SUMIFS('[1]Исходные данные'!$J$2:$J$606,'[1]Исходные данные'!$D$2:$D$606,"БД",'[1]Исходные данные'!$F$2:$F$606,"27")</f>
        <v>0</v>
      </c>
      <c r="BL8" s="11">
        <f>SUMIFS('[1]Исходные данные'!$I$2:$I$606,'[1]Исходные данные'!$D$2:$D$606,"ОГиР",'[1]Исходные данные'!$F$2:$F$606,"27")</f>
        <v>0</v>
      </c>
      <c r="BM8" s="11">
        <f>SUMIFS('[1]Исходные данные'!$J$2:$J$606,'[1]Исходные данные'!$D$2:$D$606,"ОГиР",'[1]Исходные данные'!$F$2:$F$606,"27")</f>
        <v>0</v>
      </c>
      <c r="BN8" s="11">
        <f>SUMIFS('[1]Исходные данные'!$I$2:$I$606,'[1]Исходные данные'!$D$2:$D$606,"ГСРиВК",'[1]Исходные данные'!$F$2:$F$606,"27")</f>
        <v>0</v>
      </c>
      <c r="BO8" s="11">
        <f>SUMIFS('[1]Исходные данные'!$J$2:$J$606,'[1]Исходные данные'!$D$2:$D$606,"ГСРиВК",'[1]Исходные данные'!$F$2:$F$606,"27")</f>
        <v>0</v>
      </c>
      <c r="BP8" s="11">
        <f>SUMIFS('[1]Исходные данные'!$I$2:$I$606,'[1]Исходные данные'!$D$2:$D$606,"МПГУ",'[1]Исходные данные'!$F$2:$F$606,"27")</f>
        <v>0</v>
      </c>
      <c r="BQ8" s="11">
        <f>SUMIFS('[1]Исходные данные'!$J$2:$J$606,'[1]Исходные данные'!$D$2:$D$606,"МПГУ",'[1]Исходные данные'!$F$2:$F$606,"27")</f>
        <v>0</v>
      </c>
      <c r="BR8" s="11">
        <f>SUMIFS('[1]Исходные данные'!$I$2:$I$606,'[1]Исходные данные'!$D$2:$D$606,"БПО 2",'[1]Исходные данные'!$F$2:$F$606,"27")</f>
        <v>0</v>
      </c>
      <c r="BS8" s="11">
        <f>SUMIFS('[1]Исходные данные'!$J$2:$J$606,'[1]Исходные данные'!$D$2:$D$606,"БПО 2",'[1]Исходные данные'!$F$2:$F$606,"27")</f>
        <v>0</v>
      </c>
      <c r="BT8" s="11">
        <f>SUMIFS('[1]Исходные данные'!$I$2:$I$606,'[1]Исходные данные'!$D$2:$D$606,"ЛД",'[1]Исходные данные'!$F$2:$F$606,"27")</f>
        <v>0</v>
      </c>
      <c r="BU8" s="11">
        <f>SUMIFS('[1]Исходные данные'!$J$2:$J$606,'[1]Исходные данные'!$D$2:$D$606,"ЛД",'[1]Исходные данные'!$F$2:$F$606,"27")</f>
        <v>0</v>
      </c>
      <c r="BV8" s="11">
        <f>SUMIFS('[1]Исходные данные'!$I$2:$I$606,'[1]Исходные данные'!$D$2:$D$606,"Отделкадр",'[1]Исходные данные'!$F$2:$F$606,"27")</f>
        <v>0</v>
      </c>
      <c r="BW8" s="11">
        <f>SUMIFS('[1]Исходные данные'!$J$2:$J$606,'[1]Исходные данные'!$D$2:$D$606,"Отделкадр",'[1]Исходные данные'!$F$2:$F$606,"27")</f>
        <v>0</v>
      </c>
      <c r="BX8" s="11">
        <f>SUMIFS('[1]Исходные данные'!$I$2:$I$606,'[1]Исходные данные'!$D$2:$D$606,"ЦИТС.",'[1]Исходные данные'!$F$2:$F$606,"27")</f>
        <v>0</v>
      </c>
      <c r="BY8" s="11">
        <f>SUMIFS('[1]Исходные данные'!$J$2:$J$606,'[1]Исходные данные'!$D$2:$D$606,"ЦИТС.",'[1]Исходные данные'!$F$2:$F$606,"27")</f>
        <v>0</v>
      </c>
      <c r="BZ8" s="11">
        <f>SUMIFS('[1]Исходные данные'!$I$2:$I$606,'[1]Исходные данные'!$D$2:$D$606,"ОБО",'[1]Исходные данные'!$F$2:$F$606,"27")</f>
        <v>0</v>
      </c>
      <c r="CA8" s="11">
        <f>SUMIFS('[1]Исходные данные'!$J$2:$J$606,'[1]Исходные данные'!$D$2:$D$606,"ОБО",'[1]Исходные данные'!$F$2:$F$606,"27")</f>
        <v>0</v>
      </c>
      <c r="CB8" s="11">
        <f>SUMIFS('[1]Исходные данные'!$I$2:$I$606,'[1]Исходные данные'!$D$2:$D$606,"УЖЭО",'[1]Исходные данные'!$F$2:$F$606,"27")</f>
        <v>0</v>
      </c>
      <c r="CC8" s="11">
        <f>SUMIFS('[1]Исходные данные'!$J$2:$J$606,'[1]Исходные данные'!$D$2:$D$606,"УЖЭО",'[1]Исходные данные'!$F$2:$F$606,"27")</f>
        <v>0</v>
      </c>
      <c r="CD8" s="11">
        <f>SUMIFS('[1]Исходные данные'!$I$2:$I$606,'[1]Исходные данные'!$D$2:$D$606,"Мухтар/Хамит",'[1]Исходные данные'!$F$2:$F$606,"27")</f>
        <v>0</v>
      </c>
      <c r="CE8" s="11">
        <f>SUMIFS('[1]Исходные данные'!$J$2:$J$606,'[1]Исходные данные'!$D$2:$D$606,"Мухтар/Хамит",'[1]Исходные данные'!$F$2:$F$606,"27")</f>
        <v>0</v>
      </c>
      <c r="CF8" s="11">
        <f>SUMIFS('[1]Исходные данные'!$I$2:$I$606,'[1]Исходные данные'!$D$2:$D$606,"ОБО-    СБ",'[1]Исходные данные'!$F$2:$F$606,"27")</f>
        <v>0</v>
      </c>
      <c r="CG8" s="11">
        <f>SUMIFS('[1]Исходные данные'!$J$2:$J$606,'[1]Исходные данные'!$D$2:$D$606,"ОБО-    СБ",'[1]Исходные данные'!$F$2:$F$606,"27")</f>
        <v>0</v>
      </c>
      <c r="CH8" s="11">
        <f>SUMIFS('[1]Исходные данные'!$I$2:$I$606,'[1]Исходные данные'!$D$2:$D$606,"РМУ 2",'[1]Исходные данные'!$F$2:$F$606,"27")</f>
        <v>0</v>
      </c>
      <c r="CI8" s="11">
        <f>SUMIFS('[1]Исходные данные'!$J$2:$J$606,'[1]Исходные данные'!$D$2:$D$606,"РМУ 2",'[1]Исходные данные'!$F$2:$F$606,"27")</f>
        <v>0</v>
      </c>
      <c r="CJ8" s="11">
        <f>SUMIFS('[1]Исходные данные'!$I$2:$I$606,'[1]Исходные данные'!$D$2:$D$606,"ГАПиИТ",'[1]Исходные данные'!$F$2:$F$606,"27")</f>
        <v>0</v>
      </c>
      <c r="CK8" s="11">
        <f>SUMIFS('[1]Исходные данные'!$J$2:$J$606,'[1]Исходные данные'!$D$2:$D$606,"ГАПиИТ",'[1]Исходные данные'!$F$2:$F$606,"27")</f>
        <v>0</v>
      </c>
      <c r="CL8" s="11">
        <f>SUMIFS('[1]Исходные данные'!$I$2:$I$606,'[1]Исходные данные'!$D$2:$D$606,"ОМ",'[1]Исходные данные'!$F$2:$F$606,"27")</f>
        <v>0</v>
      </c>
      <c r="CM8" s="11">
        <f>SUMIFS('[1]Исходные данные'!$J$2:$J$606,'[1]Исходные данные'!$D$2:$D$606,"ОМ",'[1]Исходные данные'!$F$2:$F$606,"27")</f>
        <v>0</v>
      </c>
      <c r="CN8" s="11">
        <f>SUMIFS('[1]Исходные данные'!$I$2:$I$606,'[1]Исходные данные'!$D$2:$D$606,"оппоIR",'[1]Исходные данные'!$F$2:$F$606,"27")</f>
        <v>0</v>
      </c>
      <c r="CO8" s="11">
        <f>SUMIFS('[1]Исходные данные'!$J$2:$J$606,'[1]Исходные данные'!$D$2:$D$606,"оппоIR",'[1]Исходные данные'!$F$2:$F$606,"27")</f>
        <v>0</v>
      </c>
      <c r="CP8" s="11">
        <f>SUMIFS('[1]Исходные данные'!$I$2:$I$606,'[1]Исходные данные'!$D$2:$D$606,"Маркшейдер",'[1]Исходные данные'!$F$2:$F$606,"27")</f>
        <v>0</v>
      </c>
      <c r="CQ8" s="11">
        <f>SUMIFS('[1]Исходные данные'!$J$2:$J$606,'[1]Исходные данные'!$D$2:$D$606,"Маркшейдер",'[1]Исходные данные'!$F$2:$F$606,"27")</f>
        <v>0</v>
      </c>
      <c r="CR8" s="11">
        <f>SUMIFS('[1]Исходные данные'!$I$2:$I$606,'[1]Исходные данные'!$D$2:$D$606,"ПСО",'[1]Исходные данные'!$F$2:$F$606,"27")</f>
        <v>0</v>
      </c>
      <c r="CS8" s="11">
        <f>SUMIFS('[1]Исходные данные'!$J$2:$J$606,'[1]Исходные данные'!$D$2:$D$606,"ПСО",'[1]Исходные данные'!$F$2:$F$606,"27")</f>
        <v>0</v>
      </c>
    </row>
    <row r="9" spans="1:97" x14ac:dyDescent="0.25">
      <c r="A9" s="8" t="s">
        <v>63</v>
      </c>
      <c r="B9" s="9" t="s">
        <v>64</v>
      </c>
      <c r="C9" s="10">
        <f t="shared" si="0"/>
        <v>43</v>
      </c>
      <c r="D9" s="10">
        <f t="shared" si="1"/>
        <v>26</v>
      </c>
      <c r="E9" s="10">
        <f t="shared" si="1"/>
        <v>17</v>
      </c>
      <c r="F9" s="9">
        <f>SUMIFS('[1]Исходные данные'!$I$2:$I$606,'[1]Исходные данные'!$D$2:$D$606,"ЦДН-1",'[1]Исходные данные'!$F$2:$F$606,"31")</f>
        <v>2</v>
      </c>
      <c r="G9" s="9">
        <f>SUMIFS('[1]Исходные данные'!$J$2:$J$606,'[1]Исходные данные'!$D$2:$D$606,"ЦДН-1",'[1]Исходные данные'!$F$2:$F$606,"31")</f>
        <v>1</v>
      </c>
      <c r="H9" s="9">
        <f>SUMIFS('[1]Исходные данные'!$I$2:$I$606,'[1]Исходные данные'!$D$2:$D$606,"ЦДН-2",'[1]Исходные данные'!$F$2:$F$606,"31")</f>
        <v>1</v>
      </c>
      <c r="I9" s="9">
        <f>SUMIFS('[1]Исходные данные'!$J$2:$J$606,'[1]Исходные данные'!$D$2:$D$606,"ЦДН-2",'[1]Исходные данные'!$F$2:$F$606,"31")</f>
        <v>0</v>
      </c>
      <c r="J9" s="9">
        <f>SUMIFS('[1]Исходные данные'!$I$2:$I$606,'[1]Исходные данные'!$D$2:$D$606,"ЦДН-3",'[1]Исходные данные'!$F$2:$F$606,"31")</f>
        <v>12</v>
      </c>
      <c r="K9" s="9">
        <f>SUMIFS('[1]Исходные данные'!$J$2:$J$606,'[1]Исходные данные'!$D$2:$D$606,"ЦДН-3",'[1]Исходные данные'!$F$2:$F$606,"31")</f>
        <v>3</v>
      </c>
      <c r="L9" s="9">
        <f>SUMIFS('[1]Исходные данные'!$I$2:$I$606,'[1]Исходные данные'!$D$2:$D$606,"ЦППН",'[1]Исходные данные'!$F$2:$F$606,"31")</f>
        <v>0</v>
      </c>
      <c r="M9" s="9">
        <f>SUMIFS('[1]Исходные данные'!$J$2:$J$606,'[1]Исходные данные'!$D$2:$D$606,"ЦППН",'[1]Исходные данные'!$F$2:$F$606,"31")</f>
        <v>0</v>
      </c>
      <c r="N9" s="9">
        <f>SUMIFS('[1]Исходные данные'!$I$2:$I$606,'[1]Исходные данные'!$D$2:$D$606,"ЦППД",'[1]Исходные данные'!$F$2:$F$606,"31")</f>
        <v>0</v>
      </c>
      <c r="O9" s="9">
        <f>SUMIFS('[1]Исходные данные'!$J$2:$J$606,'[1]Исходные данные'!$D$2:$D$606,"ЦППД",'[1]Исходные данные'!$F$2:$F$606,"31")</f>
        <v>0</v>
      </c>
      <c r="P9" s="9">
        <f>SUMIFS('[1]Исходные данные'!$I$2:$I$606,'[1]Исходные данные'!$D$2:$D$606,"ЭЦ",'[1]Исходные данные'!$F$2:$F$606,"31")</f>
        <v>0</v>
      </c>
      <c r="Q9" s="9">
        <f>SUMIFS('[1]Исходные данные'!$J$2:$J$606,'[1]Исходные данные'!$D$2:$D$606,"ЭЦ",'[1]Исходные данные'!$F$2:$F$606,"31")</f>
        <v>0</v>
      </c>
      <c r="R9" s="9">
        <f>SUMIFS('[1]Исходные данные'!$I$2:$I$606,'[1]Исходные данные'!$D$2:$D$606,"ОКС",'[1]Исходные данные'!$F$2:$F$606,"31")</f>
        <v>0</v>
      </c>
      <c r="S9" s="9">
        <f>SUMIFS('[1]Исходные данные'!$J$2:$J$606,'[1]Исходные данные'!$D$2:$D$606,"ОКС",'[1]Исходные данные'!$F$2:$F$606,"31")</f>
        <v>0</v>
      </c>
      <c r="T9" s="9">
        <f>SUMIFS('[1]Исходные данные'!$I$2:$I$606,'[1]Исходные данные'!$D$2:$D$606,"РСЦ",'[1]Исходные данные'!$F$2:$F$606,"31")</f>
        <v>0</v>
      </c>
      <c r="U9" s="9">
        <f>SUMIFS('[1]Исходные данные'!$J$2:$J$606,'[1]Исходные данные'!$D$2:$D$606,"РСЦ",'[1]Исходные данные'!$F$2:$F$606,"31")</f>
        <v>0</v>
      </c>
      <c r="V9" s="9">
        <f>SUMIFS('[1]Исходные данные'!$I$2:$I$606,'[1]Исходные данные'!$D$2:$D$606,"ЦИТС",'[1]Исходные данные'!$F$2:$F$606,"31")</f>
        <v>0</v>
      </c>
      <c r="W9" s="9">
        <f>SUMIFS('[1]Исходные данные'!$J$2:$J$606,'[1]Исходные данные'!$D$2:$D$606,"ЦИТС",'[1]Исходные данные'!$F$2:$F$606,"31")</f>
        <v>0</v>
      </c>
      <c r="X9" s="9">
        <f>SUMIFS('[1]Исходные данные'!$I$2:$I$606,'[1]Исходные данные'!$D$2:$D$606,"ПРЦЭО",'[1]Исходные данные'!$F$2:$F$606,"31")</f>
        <v>0</v>
      </c>
      <c r="Y9" s="9">
        <f>SUMIFS('[1]Исходные данные'!$J$2:$J$606,'[1]Исходные данные'!$D$2:$D$606,"ПРЦЭО",'[1]Исходные данные'!$F$2:$F$606,"31")</f>
        <v>0</v>
      </c>
      <c r="Z9" s="9">
        <f>SUMIFS('[1]Исходные данные'!$I$2:$I$606,'[1]Исходные данные'!$D$2:$D$606,"ГЦ",'[1]Исходные данные'!$F$2:$F$606,"31")</f>
        <v>0</v>
      </c>
      <c r="AA9" s="9">
        <f>SUMIFS('[1]Исходные данные'!$J$2:$J$606,'[1]Исходные данные'!$D$2:$D$606,"ГЦ",'[1]Исходные данные'!$F$2:$F$606,"31")</f>
        <v>0</v>
      </c>
      <c r="AB9" s="9">
        <f>SUMIFS('[1]Исходные данные'!$I$2:$I$606,'[1]Исходные данные'!$D$2:$D$606,"ЦПП",'[1]Исходные данные'!$F$2:$F$606,"31")</f>
        <v>0</v>
      </c>
      <c r="AC9" s="9">
        <f>SUMIFS('[1]Исходные данные'!$J$2:$J$606,'[1]Исходные данные'!$D$2:$D$606,"ЦПП",'[1]Исходные данные'!$F$2:$F$606,"31")</f>
        <v>0</v>
      </c>
      <c r="AD9" s="9">
        <f>SUMIFS('[1]Исходные данные'!$I$2:$I$606,'[1]Исходные данные'!$D$2:$D$606,"БМТС",'[1]Исходные данные'!$F$2:$F$606,"31")</f>
        <v>0</v>
      </c>
      <c r="AE9" s="9">
        <f>SUMIFS('[1]Исходные данные'!$J$2:$J$606,'[1]Исходные данные'!$D$2:$D$606,"БМТС",'[1]Исходные данные'!$F$2:$F$606,"31")</f>
        <v>0</v>
      </c>
      <c r="AF9" s="9">
        <f>SUMIFS('[1]Исходные данные'!$I$2:$I$606,'[1]Исходные данные'!$D$2:$D$606,"УБиПКРС-1",'[1]Исходные данные'!$F$2:$F$606,"31")</f>
        <v>6</v>
      </c>
      <c r="AG9" s="9">
        <f>SUMIFS('[1]Исходные данные'!$J$2:$J$606,'[1]Исходные данные'!$D$2:$D$606,"УБиПКРС-1",'[1]Исходные данные'!$F$2:$F$606,"31")</f>
        <v>8</v>
      </c>
      <c r="AH9" s="9">
        <f>SUMIFS('[1]Исходные данные'!$I$2:$I$606,'[1]Исходные данные'!$D$2:$D$606,"УБиПКРС-2",'[1]Исходные данные'!$F$2:$F$606,"31")</f>
        <v>5</v>
      </c>
      <c r="AI9" s="9">
        <f>SUMIFS('[1]Исходные данные'!$J$2:$J$606,'[1]Исходные данные'!$D$2:$D$606,"УБиПКРС-2",'[1]Исходные данные'!$F$2:$F$606,"31")</f>
        <v>5</v>
      </c>
      <c r="AJ9" s="11">
        <f>SUMIFS('[1]Исходные данные'!$I$2:$I$606,'[1]Исходные данные'!$D$2:$D$606,"ДТТ-1",'[1]Исходные данные'!$F$2:$F$606,"31")</f>
        <v>0</v>
      </c>
      <c r="AK9" s="11">
        <f>SUMIFS('[1]Исходные данные'!$J$2:$J$606,'[1]Исходные данные'!$D$2:$D$606,"ДТТ-1",'[1]Исходные данные'!$F$2:$F$606,"31")</f>
        <v>0</v>
      </c>
      <c r="AL9" s="11">
        <f>SUMIFS('[1]Исходные данные'!$I$2:$I$606,'[1]Исходные данные'!$D$2:$D$606,"ЦНИПР",'[1]Исходные данные'!$F$2:$F$606,"31")</f>
        <v>0</v>
      </c>
      <c r="AM9" s="11">
        <f>SUMIFS('[1]Исходные данные'!$J$2:$J$606,'[1]Исходные данные'!$D$2:$D$606,"ЦНИПР",'[1]Исходные данные'!$F$2:$F$606,"31")</f>
        <v>0</v>
      </c>
      <c r="AN9" s="11">
        <f>SUMIFS('[1]Исходные данные'!$I$2:$I$606,'[1]Исходные данные'!$D$2:$D$606,"ОБиПКРС",'[1]Исходные данные'!$F$2:$F$606,"31")</f>
        <v>0</v>
      </c>
      <c r="AO9" s="11">
        <f>SUMIFS('[1]Исходные данные'!$J$2:$J$606,'[1]Исходные данные'!$D$2:$D$606,"ОБиПКРС",'[1]Исходные данные'!$F$2:$F$606,"31")</f>
        <v>0</v>
      </c>
      <c r="AP9" s="11">
        <f>SUMIFS('[1]Исходные данные'!$I$2:$I$606,'[1]Исходные данные'!$D$2:$D$606,"ЦАП",'[1]Исходные данные'!$F$2:$F$606,"31")</f>
        <v>0</v>
      </c>
      <c r="AQ9" s="11">
        <f>SUMIFS('[1]Исходные данные'!$J$2:$J$606,'[1]Исходные данные'!$D$2:$D$606,"ЦАП",'[1]Исходные данные'!$F$2:$F$606,"31")</f>
        <v>0</v>
      </c>
      <c r="AR9" s="11">
        <f>SUMIFS('[1]Исходные данные'!$I$2:$I$606,'[1]Исходные данные'!$D$2:$D$606,"ГООС",'[1]Исходные данные'!$F$2:$F$606,"31")</f>
        <v>0</v>
      </c>
      <c r="AS9" s="11">
        <f>SUMIFS('[1]Исходные данные'!$J$2:$J$606,'[1]Исходные данные'!$D$2:$D$606,"ГООС",'[1]Исходные данные'!$F$2:$F$606,"31")</f>
        <v>0</v>
      </c>
      <c r="AT9" s="11">
        <f>SUMIFS('[1]Исходные данные'!$I$2:$I$606,'[1]Исходные данные'!$D$2:$D$606,"Ақкетік",'[1]Исходные данные'!$F$2:$F$606,"31")</f>
        <v>0</v>
      </c>
      <c r="AU9" s="11">
        <f>SUMIFS('[1]Исходные данные'!$J$2:$J$606,'[1]Исходные данные'!$D$2:$D$606,"Ақкетік",'[1]Исходные данные'!$F$2:$F$606,"31")</f>
        <v>0</v>
      </c>
      <c r="AV9" s="11">
        <f>SUMIFS('[1]Исходные данные'!$I$2:$I$606,'[1]Исходные данные'!$D$2:$D$606,"Нейрон",'[1]Исходные данные'!$F$2:$F$606,"31")</f>
        <v>0</v>
      </c>
      <c r="AW9" s="11">
        <f>SUMIFS('[1]Исходные данные'!$J$2:$J$606,'[1]Исходные данные'!$D$2:$D$606,"Нейрон",'[1]Исходные данные'!$F$2:$F$606,"31")</f>
        <v>0</v>
      </c>
      <c r="AX9" s="11">
        <f>SUMIFS('[1]Исходные данные'!$I$2:$I$606,'[1]Исходные данные'!$D$2:$D$606,"Бурение",'[1]Исходные данные'!$F$2:$F$606,"31")</f>
        <v>0</v>
      </c>
      <c r="AY9" s="11">
        <f>SUMIFS('[1]Исходные данные'!$J$2:$J$606,'[1]Исходные данные'!$D$2:$D$606,"Бурение",'[1]Исходные данные'!$F$2:$F$606,"31")</f>
        <v>0</v>
      </c>
      <c r="AZ9" s="11">
        <f>SUMIFS('[1]Исходные данные'!$I$2:$I$606,'[1]Исходные данные'!$D$2:$D$606,"ЦТВС",'[1]Исходные данные'!$F$2:$F$606,"31")</f>
        <v>0</v>
      </c>
      <c r="BA9" s="11">
        <f>SUMIFS('[1]Исходные данные'!$J$2:$J$606,'[1]Исходные данные'!$D$2:$D$606,"ЦТВС",'[1]Исходные данные'!$F$2:$F$606,"31")</f>
        <v>0</v>
      </c>
      <c r="BB9" s="11">
        <f>SUMIFS('[1]Исходные данные'!$I$2:$I$606,'[1]Исходные данные'!$D$2:$D$606,"ТБ",'[1]Исходные данные'!$F$2:$F$606,"31")</f>
        <v>0</v>
      </c>
      <c r="BC9" s="11">
        <f>SUMIFS('[1]Исходные данные'!$J$2:$J$606,'[1]Исходные данные'!$D$2:$D$606,"ТБ",'[1]Исходные данные'!$F$2:$F$606,"31")</f>
        <v>0</v>
      </c>
      <c r="BD9" s="11">
        <f>SUMIFS('[1]Исходные данные'!$I$2:$I$606,'[1]Исходные данные'!$D$2:$D$606,"ОТДН",'[1]Исходные данные'!$F$2:$F$606,"31")</f>
        <v>0</v>
      </c>
      <c r="BE9" s="11">
        <f>SUMIFS('[1]Исходные данные'!$J$2:$J$606,'[1]Исходные данные'!$D$2:$D$606,"ОТДН",'[1]Исходные данные'!$F$2:$F$606,"31")</f>
        <v>0</v>
      </c>
      <c r="BF9" s="11">
        <f>SUMIFS('[1]Исходные данные'!$I$2:$I$606,'[1]Исходные данные'!$D$2:$D$606,"ПЧ-Семсер",'[1]Исходные данные'!$F$2:$F$606,"31")</f>
        <v>0</v>
      </c>
      <c r="BG9" s="11">
        <f>SUMIFS('[1]Исходные данные'!$J$2:$J$606,'[1]Исходные данные'!$D$2:$D$606,"ПЧ-Семсер",'[1]Исходные данные'!$F$2:$F$606,"31")</f>
        <v>0</v>
      </c>
      <c r="BH9" s="11">
        <f>SUMIFS('[1]Исходные данные'!$I$2:$I$606,'[1]Исходные данные'!$D$2:$D$606,"ПРЦЭО(2)",'[1]Исходные данные'!$F$2:$F$606,"31")</f>
        <v>0</v>
      </c>
      <c r="BI9" s="11">
        <f>SUMIFS('[1]Исходные данные'!$J$2:$J$606,'[1]Исходные данные'!$D$2:$D$606,"ПРЦЭО(2)",'[1]Исходные данные'!$F$2:$F$606,"31")</f>
        <v>0</v>
      </c>
      <c r="BJ9" s="11">
        <f>SUMIFS('[1]Исходные данные'!$I$2:$I$606,'[1]Исходные данные'!$D$2:$D$606,"БД",'[1]Исходные данные'!$F$2:$F$606,"31")</f>
        <v>0</v>
      </c>
      <c r="BK9" s="11">
        <f>SUMIFS('[1]Исходные данные'!$J$2:$J$606,'[1]Исходные данные'!$D$2:$D$606,"БД",'[1]Исходные данные'!$F$2:$F$606,"31")</f>
        <v>0</v>
      </c>
      <c r="BL9" s="11">
        <f>SUMIFS('[1]Исходные данные'!$I$2:$I$606,'[1]Исходные данные'!$D$2:$D$606,"ОГиР",'[1]Исходные данные'!$F$2:$F$606,"31")</f>
        <v>0</v>
      </c>
      <c r="BM9" s="11">
        <f>SUMIFS('[1]Исходные данные'!$J$2:$J$606,'[1]Исходные данные'!$D$2:$D$606,"ОГиР",'[1]Исходные данные'!$F$2:$F$606,"31")</f>
        <v>0</v>
      </c>
      <c r="BN9" s="11">
        <f>SUMIFS('[1]Исходные данные'!$I$2:$I$606,'[1]Исходные данные'!$D$2:$D$606,"ГСРиВК",'[1]Исходные данные'!$F$2:$F$606,"31")</f>
        <v>0</v>
      </c>
      <c r="BO9" s="11">
        <f>SUMIFS('[1]Исходные данные'!$J$2:$J$606,'[1]Исходные данные'!$D$2:$D$606,"ГСРиВК",'[1]Исходные данные'!$F$2:$F$606,"31")</f>
        <v>0</v>
      </c>
      <c r="BP9" s="11">
        <f>SUMIFS('[1]Исходные данные'!$I$2:$I$606,'[1]Исходные данные'!$D$2:$D$606,"МПГУ",'[1]Исходные данные'!$F$2:$F$606,"31")</f>
        <v>0</v>
      </c>
      <c r="BQ9" s="11">
        <f>SUMIFS('[1]Исходные данные'!$J$2:$J$606,'[1]Исходные данные'!$D$2:$D$606,"МПГУ",'[1]Исходные данные'!$F$2:$F$606,"31")</f>
        <v>0</v>
      </c>
      <c r="BR9" s="11">
        <f>SUMIFS('[1]Исходные данные'!$I$2:$I$606,'[1]Исходные данные'!$D$2:$D$606,"БПО 2",'[1]Исходные данные'!$F$2:$F$606,"31")</f>
        <v>0</v>
      </c>
      <c r="BS9" s="11">
        <f>SUMIFS('[1]Исходные данные'!$J$2:$J$606,'[1]Исходные данные'!$D$2:$D$606,"БПО 2",'[1]Исходные данные'!$F$2:$F$606,"31")</f>
        <v>0</v>
      </c>
      <c r="BT9" s="11">
        <f>SUMIFS('[1]Исходные данные'!$I$2:$I$606,'[1]Исходные данные'!$D$2:$D$606,"ЛД",'[1]Исходные данные'!$F$2:$F$606,"31")</f>
        <v>0</v>
      </c>
      <c r="BU9" s="11">
        <f>SUMIFS('[1]Исходные данные'!$J$2:$J$606,'[1]Исходные данные'!$D$2:$D$606,"ЛД",'[1]Исходные данные'!$F$2:$F$606,"31")</f>
        <v>0</v>
      </c>
      <c r="BV9" s="11">
        <f>SUMIFS('[1]Исходные данные'!$I$2:$I$606,'[1]Исходные данные'!$D$2:$D$606,"Отделкадр",'[1]Исходные данные'!$F$2:$F$606,"31")</f>
        <v>0</v>
      </c>
      <c r="BW9" s="11">
        <f>SUMIFS('[1]Исходные данные'!$J$2:$J$606,'[1]Исходные данные'!$D$2:$D$606,"Отделкадр",'[1]Исходные данные'!$F$2:$F$606,"31")</f>
        <v>0</v>
      </c>
      <c r="BX9" s="11">
        <f>SUMIFS('[1]Исходные данные'!$I$2:$I$606,'[1]Исходные данные'!$D$2:$D$606,"ЦИТС.",'[1]Исходные данные'!$F$2:$F$606,"31")</f>
        <v>0</v>
      </c>
      <c r="BY9" s="11">
        <f>SUMIFS('[1]Исходные данные'!$J$2:$J$606,'[1]Исходные данные'!$D$2:$D$606,"ЦИТС.",'[1]Исходные данные'!$F$2:$F$606,"31")</f>
        <v>0</v>
      </c>
      <c r="BZ9" s="11">
        <f>SUMIFS('[1]Исходные данные'!$I$2:$I$606,'[1]Исходные данные'!$D$2:$D$606,"ОБО",'[1]Исходные данные'!$F$2:$F$606,"31")</f>
        <v>0</v>
      </c>
      <c r="CA9" s="11">
        <f>SUMIFS('[1]Исходные данные'!$J$2:$J$606,'[1]Исходные данные'!$D$2:$D$606,"ОБО",'[1]Исходные данные'!$F$2:$F$606,"31")</f>
        <v>0</v>
      </c>
      <c r="CB9" s="11">
        <f>SUMIFS('[1]Исходные данные'!$I$2:$I$606,'[1]Исходные данные'!$D$2:$D$606,"УЖЭО",'[1]Исходные данные'!$F$2:$F$606,"31")</f>
        <v>0</v>
      </c>
      <c r="CC9" s="11">
        <f>SUMIFS('[1]Исходные данные'!$J$2:$J$606,'[1]Исходные данные'!$D$2:$D$606,"УЖЭО",'[1]Исходные данные'!$F$2:$F$606,"31")</f>
        <v>0</v>
      </c>
      <c r="CD9" s="11">
        <f>SUMIFS('[1]Исходные данные'!$I$2:$I$606,'[1]Исходные данные'!$D$2:$D$606,"Мухтар/Хамит",'[1]Исходные данные'!$F$2:$F$606,"31")</f>
        <v>0</v>
      </c>
      <c r="CE9" s="11">
        <f>SUMIFS('[1]Исходные данные'!$J$2:$J$606,'[1]Исходные данные'!$D$2:$D$606,"Мухтар/Хамит",'[1]Исходные данные'!$F$2:$F$606,"31")</f>
        <v>0</v>
      </c>
      <c r="CF9" s="11">
        <f>SUMIFS('[1]Исходные данные'!$I$2:$I$606,'[1]Исходные данные'!$D$2:$D$606,"ОБО-    СБ",'[1]Исходные данные'!$F$2:$F$606,"31")</f>
        <v>0</v>
      </c>
      <c r="CG9" s="11">
        <f>SUMIFS('[1]Исходные данные'!$J$2:$J$606,'[1]Исходные данные'!$D$2:$D$606,"ОБО-    СБ",'[1]Исходные данные'!$F$2:$F$606,"31")</f>
        <v>0</v>
      </c>
      <c r="CH9" s="11">
        <f>SUMIFS('[1]Исходные данные'!$I$2:$I$606,'[1]Исходные данные'!$D$2:$D$606,"РМУ 2",'[1]Исходные данные'!$F$2:$F$606,"31")</f>
        <v>0</v>
      </c>
      <c r="CI9" s="11">
        <f>SUMIFS('[1]Исходные данные'!$J$2:$J$606,'[1]Исходные данные'!$D$2:$D$606,"РМУ 2",'[1]Исходные данные'!$F$2:$F$606,"31")</f>
        <v>0</v>
      </c>
      <c r="CJ9" s="11">
        <f>SUMIFS('[1]Исходные данные'!$I$2:$I$606,'[1]Исходные данные'!$D$2:$D$606,"ГАПиИТ",'[1]Исходные данные'!$F$2:$F$606,"31")</f>
        <v>0</v>
      </c>
      <c r="CK9" s="11">
        <f>SUMIFS('[1]Исходные данные'!$J$2:$J$606,'[1]Исходные данные'!$D$2:$D$606,"ГАПиИТ",'[1]Исходные данные'!$F$2:$F$606,"31")</f>
        <v>0</v>
      </c>
      <c r="CL9" s="11">
        <f>SUMIFS('[1]Исходные данные'!$I$2:$I$606,'[1]Исходные данные'!$D$2:$D$606,"ОМ",'[1]Исходные данные'!$F$2:$F$606,"31")</f>
        <v>0</v>
      </c>
      <c r="CM9" s="11">
        <f>SUMIFS('[1]Исходные данные'!$J$2:$J$606,'[1]Исходные данные'!$D$2:$D$606,"ОМ",'[1]Исходные данные'!$F$2:$F$606,"31")</f>
        <v>0</v>
      </c>
      <c r="CN9" s="11">
        <f>SUMIFS('[1]Исходные данные'!$I$2:$I$606,'[1]Исходные данные'!$D$2:$D$606,"оппоIR",'[1]Исходные данные'!$F$2:$F$606,"31")</f>
        <v>0</v>
      </c>
      <c r="CO9" s="11">
        <f>SUMIFS('[1]Исходные данные'!$J$2:$J$606,'[1]Исходные данные'!$D$2:$D$606,"оппоIR",'[1]Исходные данные'!$F$2:$F$606,"31")</f>
        <v>0</v>
      </c>
      <c r="CP9" s="11">
        <f>SUMIFS('[1]Исходные данные'!$I$2:$I$606,'[1]Исходные данные'!$D$2:$D$606,"Маркшейдер",'[1]Исходные данные'!$F$2:$F$606,"31")</f>
        <v>0</v>
      </c>
      <c r="CQ9" s="11">
        <f>SUMIFS('[1]Исходные данные'!$J$2:$J$606,'[1]Исходные данные'!$D$2:$D$606,"Маркшейдер",'[1]Исходные данные'!$F$2:$F$606,"31")</f>
        <v>0</v>
      </c>
      <c r="CR9" s="11">
        <f>SUMIFS('[1]Исходные данные'!$I$2:$I$606,'[1]Исходные данные'!$D$2:$D$606,"ПСО",'[1]Исходные данные'!$F$2:$F$606,"31")</f>
        <v>0</v>
      </c>
      <c r="CS9" s="11">
        <f>SUMIFS('[1]Исходные данные'!$J$2:$J$606,'[1]Исходные данные'!$D$2:$D$606,"ПСО",'[1]Исходные данные'!$F$2:$F$606,"31")</f>
        <v>0</v>
      </c>
    </row>
    <row r="10" spans="1:97" x14ac:dyDescent="0.25">
      <c r="A10" s="8" t="s">
        <v>65</v>
      </c>
      <c r="B10" s="9" t="s">
        <v>66</v>
      </c>
      <c r="C10" s="10">
        <f t="shared" si="0"/>
        <v>39</v>
      </c>
      <c r="D10" s="10">
        <f t="shared" si="1"/>
        <v>27</v>
      </c>
      <c r="E10" s="10">
        <f t="shared" si="1"/>
        <v>12</v>
      </c>
      <c r="F10" s="9">
        <f>SUMIFS('[1]Исходные данные'!$I$2:$I$606,'[1]Исходные данные'!$D$2:$D$606,"ЦДН-1",'[1]Исходные данные'!$F$2:$F$606,"35")</f>
        <v>4</v>
      </c>
      <c r="G10" s="9">
        <f>SUMIFS('[1]Исходные данные'!$J$2:$J$606,'[1]Исходные данные'!$D$2:$D$606,"ЦДН-1",'[1]Исходные данные'!$F$2:$F$606,"35")</f>
        <v>2</v>
      </c>
      <c r="H10" s="9">
        <f>SUMIFS('[1]Исходные данные'!$I$2:$I$606,'[1]Исходные данные'!$D$2:$D$606,"ЦДН-2",'[1]Исходные данные'!$F$2:$F$606,"35")</f>
        <v>1</v>
      </c>
      <c r="I10" s="9">
        <f>SUMIFS('[1]Исходные данные'!$J$2:$J$606,'[1]Исходные данные'!$D$2:$D$606,"ЦДН-2",'[1]Исходные данные'!$F$2:$F$606,"35")</f>
        <v>0</v>
      </c>
      <c r="J10" s="9">
        <f>SUMIFS('[1]Исходные данные'!$I$2:$I$606,'[1]Исходные данные'!$D$2:$D$606,"ЦДН-3",'[1]Исходные данные'!$F$2:$F$606,"35")</f>
        <v>13</v>
      </c>
      <c r="K10" s="9">
        <f>SUMIFS('[1]Исходные данные'!$J$2:$J$606,'[1]Исходные данные'!$D$2:$D$606,"ЦДН-3",'[1]Исходные данные'!$F$2:$F$606,"35")</f>
        <v>3</v>
      </c>
      <c r="L10" s="9">
        <f>SUMIFS('[1]Исходные данные'!$I$2:$I$606,'[1]Исходные данные'!$D$2:$D$606,"ЦППН",'[1]Исходные данные'!$F$2:$F$606,"35")</f>
        <v>0</v>
      </c>
      <c r="M10" s="9">
        <f>SUMIFS('[1]Исходные данные'!$J$2:$J$606,'[1]Исходные данные'!$D$2:$D$606,"ЦППН",'[1]Исходные данные'!$F$2:$F$606,"35")</f>
        <v>0</v>
      </c>
      <c r="N10" s="9">
        <f>SUMIFS('[1]Исходные данные'!$I$2:$I$606,'[1]Исходные данные'!$D$2:$D$606,"ЦППД",'[1]Исходные данные'!$F$2:$F$606,"35")</f>
        <v>0</v>
      </c>
      <c r="O10" s="9">
        <f>SUMIFS('[1]Исходные данные'!$J$2:$J$606,'[1]Исходные данные'!$D$2:$D$606,"ЦППД",'[1]Исходные данные'!$F$2:$F$606,"35")</f>
        <v>0</v>
      </c>
      <c r="P10" s="9">
        <f>SUMIFS('[1]Исходные данные'!$I$2:$I$606,'[1]Исходные данные'!$D$2:$D$606,"ЭЦ",'[1]Исходные данные'!$F$2:$F$606,"35")</f>
        <v>0</v>
      </c>
      <c r="Q10" s="9">
        <f>SUMIFS('[1]Исходные данные'!$J$2:$J$606,'[1]Исходные данные'!$D$2:$D$606,"ЭЦ",'[1]Исходные данные'!$F$2:$F$606,"35")</f>
        <v>0</v>
      </c>
      <c r="R10" s="9">
        <f>SUMIFS('[1]Исходные данные'!$I$2:$I$606,'[1]Исходные данные'!$D$2:$D$606,"ОКС",'[1]Исходные данные'!$F$2:$F$606,"35")</f>
        <v>2</v>
      </c>
      <c r="S10" s="9">
        <f>SUMIFS('[1]Исходные данные'!$J$2:$J$606,'[1]Исходные данные'!$D$2:$D$606,"ОКС",'[1]Исходные данные'!$F$2:$F$606,"35")</f>
        <v>1</v>
      </c>
      <c r="T10" s="9">
        <f>SUMIFS('[1]Исходные данные'!$I$2:$I$606,'[1]Исходные данные'!$D$2:$D$606,"РСЦ",'[1]Исходные данные'!$F$2:$F$606,"35")</f>
        <v>0</v>
      </c>
      <c r="U10" s="9">
        <f>SUMIFS('[1]Исходные данные'!$J$2:$J$606,'[1]Исходные данные'!$D$2:$D$606,"РСЦ",'[1]Исходные данные'!$F$2:$F$606,"35")</f>
        <v>0</v>
      </c>
      <c r="V10" s="9">
        <f>SUMIFS('[1]Исходные данные'!$I$2:$I$606,'[1]Исходные данные'!$D$2:$D$606,"ЦИТС",'[1]Исходные данные'!$F$2:$F$606,"35")</f>
        <v>0</v>
      </c>
      <c r="W10" s="9">
        <f>SUMIFS('[1]Исходные данные'!$J$2:$J$606,'[1]Исходные данные'!$D$2:$D$606,"ЦИТС",'[1]Исходные данные'!$F$2:$F$606,"35")</f>
        <v>0</v>
      </c>
      <c r="X10" s="9">
        <f>SUMIFS('[1]Исходные данные'!$I$2:$I$606,'[1]Исходные данные'!$D$2:$D$606,"ПРЦЭО",'[1]Исходные данные'!$F$2:$F$606,"35")</f>
        <v>0</v>
      </c>
      <c r="Y10" s="9">
        <f>SUMIFS('[1]Исходные данные'!$J$2:$J$606,'[1]Исходные данные'!$D$2:$D$606,"ПРЦЭО",'[1]Исходные данные'!$F$2:$F$606,"35")</f>
        <v>0</v>
      </c>
      <c r="Z10" s="9">
        <f>SUMIFS('[1]Исходные данные'!$I$2:$I$606,'[1]Исходные данные'!$D$2:$D$606,"ГЦ",'[1]Исходные данные'!$F$2:$F$606,"35")</f>
        <v>0</v>
      </c>
      <c r="AA10" s="9">
        <f>SUMIFS('[1]Исходные данные'!$J$2:$J$606,'[1]Исходные данные'!$D$2:$D$606,"ГЦ",'[1]Исходные данные'!$F$2:$F$606,"35")</f>
        <v>0</v>
      </c>
      <c r="AB10" s="9">
        <f>SUMIFS('[1]Исходные данные'!$I$2:$I$606,'[1]Исходные данные'!$D$2:$D$606,"ЦПП",'[1]Исходные данные'!$F$2:$F$606,"35")</f>
        <v>0</v>
      </c>
      <c r="AC10" s="9">
        <f>SUMIFS('[1]Исходные данные'!$J$2:$J$606,'[1]Исходные данные'!$D$2:$D$606,"ЦПП",'[1]Исходные данные'!$F$2:$F$606,"35")</f>
        <v>0</v>
      </c>
      <c r="AD10" s="9">
        <f>SUMIFS('[1]Исходные данные'!$I$2:$I$606,'[1]Исходные данные'!$D$2:$D$606,"БМТС",'[1]Исходные данные'!$F$2:$F$606,"35")</f>
        <v>0</v>
      </c>
      <c r="AE10" s="9">
        <f>SUMIFS('[1]Исходные данные'!$J$2:$J$606,'[1]Исходные данные'!$D$2:$D$606,"БМТС",'[1]Исходные данные'!$F$2:$F$606,"35")</f>
        <v>0</v>
      </c>
      <c r="AF10" s="9">
        <f>SUMIFS('[1]Исходные данные'!$I$2:$I$606,'[1]Исходные данные'!$D$2:$D$606,"УБиПКРС-1",'[1]Исходные данные'!$F$2:$F$606,"35")</f>
        <v>0</v>
      </c>
      <c r="AG10" s="9">
        <f>SUMIFS('[1]Исходные данные'!$J$2:$J$606,'[1]Исходные данные'!$D$2:$D$606,"УБиПКРС-1",'[1]Исходные данные'!$F$2:$F$606,"35")</f>
        <v>0</v>
      </c>
      <c r="AH10" s="9">
        <f>SUMIFS('[1]Исходные данные'!$I$2:$I$606,'[1]Исходные данные'!$D$2:$D$606,"УБиПКРС-2",'[1]Исходные данные'!$F$2:$F$606,"35")</f>
        <v>6</v>
      </c>
      <c r="AI10" s="9">
        <f>SUMIFS('[1]Исходные данные'!$J$2:$J$606,'[1]Исходные данные'!$D$2:$D$606,"УБиПКРС-2",'[1]Исходные данные'!$F$2:$F$606,"35")</f>
        <v>5</v>
      </c>
      <c r="AJ10" s="11">
        <f>SUMIFS('[1]Исходные данные'!$I$2:$I$606,'[1]Исходные данные'!$D$2:$D$606,"ДТТ-1",'[1]Исходные данные'!$F$2:$F$606,"35")</f>
        <v>0</v>
      </c>
      <c r="AK10" s="11">
        <f>SUMIFS('[1]Исходные данные'!$J$2:$J$606,'[1]Исходные данные'!$D$2:$D$606,"ДТТ-1",'[1]Исходные данные'!$F$2:$F$606,"35")</f>
        <v>0</v>
      </c>
      <c r="AL10" s="11">
        <f>SUMIFS('[1]Исходные данные'!$I$2:$I$606,'[1]Исходные данные'!$D$2:$D$606,"ЦНИПР",'[1]Исходные данные'!$F$2:$F$606,"35")</f>
        <v>0</v>
      </c>
      <c r="AM10" s="11">
        <f>SUMIFS('[1]Исходные данные'!$J$2:$J$606,'[1]Исходные данные'!$D$2:$D$606,"ЦНИПР",'[1]Исходные данные'!$F$2:$F$606,"35")</f>
        <v>0</v>
      </c>
      <c r="AN10" s="11">
        <f>SUMIFS('[1]Исходные данные'!$I$2:$I$606,'[1]Исходные данные'!$D$2:$D$606,"ОБиПКРС",'[1]Исходные данные'!$F$2:$F$606,"35")</f>
        <v>0</v>
      </c>
      <c r="AO10" s="11">
        <f>SUMIFS('[1]Исходные данные'!$J$2:$J$606,'[1]Исходные данные'!$D$2:$D$606,"ОБиПКРС",'[1]Исходные данные'!$F$2:$F$606,"35")</f>
        <v>0</v>
      </c>
      <c r="AP10" s="11">
        <f>SUMIFS('[1]Исходные данные'!$I$2:$I$606,'[1]Исходные данные'!$D$2:$D$606,"ЦАП",'[1]Исходные данные'!$F$2:$F$606,"35")</f>
        <v>0</v>
      </c>
      <c r="AQ10" s="11">
        <f>SUMIFS('[1]Исходные данные'!$J$2:$J$606,'[1]Исходные данные'!$D$2:$D$606,"ЦАП",'[1]Исходные данные'!$F$2:$F$606,"35")</f>
        <v>0</v>
      </c>
      <c r="AR10" s="11">
        <f>SUMIFS('[1]Исходные данные'!$I$2:$I$606,'[1]Исходные данные'!$D$2:$D$606,"ГООС",'[1]Исходные данные'!$F$2:$F$606,"35")</f>
        <v>0</v>
      </c>
      <c r="AS10" s="11">
        <f>SUMIFS('[1]Исходные данные'!$J$2:$J$606,'[1]Исходные данные'!$D$2:$D$606,"ГООС",'[1]Исходные данные'!$F$2:$F$606,"35")</f>
        <v>0</v>
      </c>
      <c r="AT10" s="11">
        <f>SUMIFS('[1]Исходные данные'!$I$2:$I$606,'[1]Исходные данные'!$D$2:$D$606,"Ақкетік",'[1]Исходные данные'!$F$2:$F$606,"35")</f>
        <v>0</v>
      </c>
      <c r="AU10" s="11">
        <f>SUMIFS('[1]Исходные данные'!$J$2:$J$606,'[1]Исходные данные'!$D$2:$D$606,"Ақкетік",'[1]Исходные данные'!$F$2:$F$606,"35")</f>
        <v>0</v>
      </c>
      <c r="AV10" s="11">
        <f>SUMIFS('[1]Исходные данные'!$I$2:$I$606,'[1]Исходные данные'!$D$2:$D$606,"Нейрон",'[1]Исходные данные'!$F$2:$F$606,"35")</f>
        <v>0</v>
      </c>
      <c r="AW10" s="11">
        <f>SUMIFS('[1]Исходные данные'!$J$2:$J$606,'[1]Исходные данные'!$D$2:$D$606,"Нейрон",'[1]Исходные данные'!$F$2:$F$606,"35")</f>
        <v>0</v>
      </c>
      <c r="AX10" s="11">
        <f>SUMIFS('[1]Исходные данные'!$I$2:$I$606,'[1]Исходные данные'!$D$2:$D$606,"Бурение",'[1]Исходные данные'!$F$2:$F$606,"35")</f>
        <v>1</v>
      </c>
      <c r="AY10" s="11">
        <f>SUMIFS('[1]Исходные данные'!$J$2:$J$606,'[1]Исходные данные'!$D$2:$D$606,"Бурение",'[1]Исходные данные'!$F$2:$F$606,"35")</f>
        <v>1</v>
      </c>
      <c r="AZ10" s="11">
        <f>SUMIFS('[1]Исходные данные'!$I$2:$I$606,'[1]Исходные данные'!$D$2:$D$606,"ЦТВС",'[1]Исходные данные'!$F$2:$F$606,"35")</f>
        <v>0</v>
      </c>
      <c r="BA10" s="11">
        <f>SUMIFS('[1]Исходные данные'!$J$2:$J$606,'[1]Исходные данные'!$D$2:$D$606,"ЦТВС",'[1]Исходные данные'!$F$2:$F$606,"35")</f>
        <v>0</v>
      </c>
      <c r="BB10" s="11">
        <f>SUMIFS('[1]Исходные данные'!$I$2:$I$606,'[1]Исходные данные'!$D$2:$D$606,"ТБ",'[1]Исходные данные'!$F$2:$F$606,"35")</f>
        <v>0</v>
      </c>
      <c r="BC10" s="11">
        <f>SUMIFS('[1]Исходные данные'!$J$2:$J$606,'[1]Исходные данные'!$D$2:$D$606,"ТБ",'[1]Исходные данные'!$F$2:$F$606,"35")</f>
        <v>0</v>
      </c>
      <c r="BD10" s="11">
        <f>SUMIFS('[1]Исходные данные'!$I$2:$I$606,'[1]Исходные данные'!$D$2:$D$606,"ОТДН",'[1]Исходные данные'!$F$2:$F$606,"35")</f>
        <v>0</v>
      </c>
      <c r="BE10" s="11">
        <f>SUMIFS('[1]Исходные данные'!$J$2:$J$606,'[1]Исходные данные'!$D$2:$D$606,"ОТДН",'[1]Исходные данные'!$F$2:$F$606,"35")</f>
        <v>0</v>
      </c>
      <c r="BF10" s="11">
        <f>SUMIFS('[1]Исходные данные'!$I$2:$I$606,'[1]Исходные данные'!$D$2:$D$606,"ПЧ-Семсер",'[1]Исходные данные'!$F$2:$F$606,"35")</f>
        <v>0</v>
      </c>
      <c r="BG10" s="11">
        <f>SUMIFS('[1]Исходные данные'!$J$2:$J$606,'[1]Исходные данные'!$D$2:$D$606,"ПЧ-Семсер",'[1]Исходные данные'!$F$2:$F$606,"35")</f>
        <v>0</v>
      </c>
      <c r="BH10" s="11">
        <f>SUMIFS('[1]Исходные данные'!$I$2:$I$606,'[1]Исходные данные'!$D$2:$D$606,"ПРЦЭО(2)",'[1]Исходные данные'!$F$2:$F$606,"35")</f>
        <v>0</v>
      </c>
      <c r="BI10" s="11">
        <f>SUMIFS('[1]Исходные данные'!$J$2:$J$606,'[1]Исходные данные'!$D$2:$D$606,"ПРЦЭО(2)",'[1]Исходные данные'!$F$2:$F$606,"35")</f>
        <v>0</v>
      </c>
      <c r="BJ10" s="11">
        <f>SUMIFS('[1]Исходные данные'!$I$2:$I$606,'[1]Исходные данные'!$D$2:$D$606,"БД",'[1]Исходные данные'!$F$2:$F$606,"35")</f>
        <v>0</v>
      </c>
      <c r="BK10" s="11">
        <f>SUMIFS('[1]Исходные данные'!$J$2:$J$606,'[1]Исходные данные'!$D$2:$D$606,"БД",'[1]Исходные данные'!$F$2:$F$606,"35")</f>
        <v>0</v>
      </c>
      <c r="BL10" s="11">
        <f>SUMIFS('[1]Исходные данные'!$I$2:$I$606,'[1]Исходные данные'!$D$2:$D$606,"ОГиР",'[1]Исходные данные'!$F$2:$F$606,"35")</f>
        <v>0</v>
      </c>
      <c r="BM10" s="11">
        <f>SUMIFS('[1]Исходные данные'!$J$2:$J$606,'[1]Исходные данные'!$D$2:$D$606,"ОГиР",'[1]Исходные данные'!$F$2:$F$606,"35")</f>
        <v>0</v>
      </c>
      <c r="BN10" s="11">
        <f>SUMIFS('[1]Исходные данные'!$I$2:$I$606,'[1]Исходные данные'!$D$2:$D$606,"ГСРиВК",'[1]Исходные данные'!$F$2:$F$606,"35")</f>
        <v>0</v>
      </c>
      <c r="BO10" s="11">
        <f>SUMIFS('[1]Исходные данные'!$J$2:$J$606,'[1]Исходные данные'!$D$2:$D$606,"ГСРиВК",'[1]Исходные данные'!$F$2:$F$606,"35")</f>
        <v>0</v>
      </c>
      <c r="BP10" s="11">
        <f>SUMIFS('[1]Исходные данные'!$I$2:$I$606,'[1]Исходные данные'!$D$2:$D$606,"МПГУ",'[1]Исходные данные'!$F$2:$F$606,"35")</f>
        <v>0</v>
      </c>
      <c r="BQ10" s="11">
        <f>SUMIFS('[1]Исходные данные'!$J$2:$J$606,'[1]Исходные данные'!$D$2:$D$606,"МПГУ",'[1]Исходные данные'!$F$2:$F$606,"35")</f>
        <v>0</v>
      </c>
      <c r="BR10" s="11">
        <f>SUMIFS('[1]Исходные данные'!$I$2:$I$606,'[1]Исходные данные'!$D$2:$D$606,"БПО 2",'[1]Исходные данные'!$F$2:$F$606,"35")</f>
        <v>0</v>
      </c>
      <c r="BS10" s="11">
        <f>SUMIFS('[1]Исходные данные'!$J$2:$J$606,'[1]Исходные данные'!$D$2:$D$606,"БПО 2",'[1]Исходные данные'!$F$2:$F$606,"35")</f>
        <v>0</v>
      </c>
      <c r="BT10" s="11">
        <f>SUMIFS('[1]Исходные данные'!$I$2:$I$606,'[1]Исходные данные'!$D$2:$D$606,"ЛД",'[1]Исходные данные'!$F$2:$F$606,"35")</f>
        <v>0</v>
      </c>
      <c r="BU10" s="11">
        <f>SUMIFS('[1]Исходные данные'!$J$2:$J$606,'[1]Исходные данные'!$D$2:$D$606,"ЛД",'[1]Исходные данные'!$F$2:$F$606,"35")</f>
        <v>0</v>
      </c>
      <c r="BV10" s="11">
        <f>SUMIFS('[1]Исходные данные'!$I$2:$I$606,'[1]Исходные данные'!$D$2:$D$606,"Отделкадр",'[1]Исходные данные'!$F$2:$F$606,"35")</f>
        <v>0</v>
      </c>
      <c r="BW10" s="11">
        <f>SUMIFS('[1]Исходные данные'!$J$2:$J$606,'[1]Исходные данные'!$D$2:$D$606,"Отделкадр",'[1]Исходные данные'!$F$2:$F$606,"35")</f>
        <v>0</v>
      </c>
      <c r="BX10" s="11">
        <f>SUMIFS('[1]Исходные данные'!$I$2:$I$606,'[1]Исходные данные'!$D$2:$D$606,"ЦИТС.",'[1]Исходные данные'!$F$2:$F$606,"35")</f>
        <v>0</v>
      </c>
      <c r="BY10" s="11">
        <f>SUMIFS('[1]Исходные данные'!$J$2:$J$606,'[1]Исходные данные'!$D$2:$D$606,"ЦИТС.",'[1]Исходные данные'!$F$2:$F$606,"35")</f>
        <v>0</v>
      </c>
      <c r="BZ10" s="11">
        <f>SUMIFS('[1]Исходные данные'!$I$2:$I$606,'[1]Исходные данные'!$D$2:$D$606,"ОБО",'[1]Исходные данные'!$F$2:$F$606,"35")</f>
        <v>0</v>
      </c>
      <c r="CA10" s="11">
        <f>SUMIFS('[1]Исходные данные'!$J$2:$J$606,'[1]Исходные данные'!$D$2:$D$606,"ОБО",'[1]Исходные данные'!$F$2:$F$606,"35")</f>
        <v>0</v>
      </c>
      <c r="CB10" s="11">
        <f>SUMIFS('[1]Исходные данные'!$I$2:$I$606,'[1]Исходные данные'!$D$2:$D$606,"УЖЭО",'[1]Исходные данные'!$F$2:$F$606,"35")</f>
        <v>0</v>
      </c>
      <c r="CC10" s="11">
        <f>SUMIFS('[1]Исходные данные'!$J$2:$J$606,'[1]Исходные данные'!$D$2:$D$606,"УЖЭО",'[1]Исходные данные'!$F$2:$F$606,"35")</f>
        <v>0</v>
      </c>
      <c r="CD10" s="11">
        <f>SUMIFS('[1]Исходные данные'!$I$2:$I$606,'[1]Исходные данные'!$D$2:$D$606,"Мухтар/Хамит",'[1]Исходные данные'!$F$2:$F$606,"35")</f>
        <v>0</v>
      </c>
      <c r="CE10" s="11">
        <f>SUMIFS('[1]Исходные данные'!$J$2:$J$606,'[1]Исходные данные'!$D$2:$D$606,"Мухтар/Хамит",'[1]Исходные данные'!$F$2:$F$606,"35")</f>
        <v>0</v>
      </c>
      <c r="CF10" s="11">
        <f>SUMIFS('[1]Исходные данные'!$I$2:$I$606,'[1]Исходные данные'!$D$2:$D$606,"ОБО-    СБ",'[1]Исходные данные'!$F$2:$F$606,"35")</f>
        <v>0</v>
      </c>
      <c r="CG10" s="11">
        <f>SUMIFS('[1]Исходные данные'!$J$2:$J$606,'[1]Исходные данные'!$D$2:$D$606,"ОБО-    СБ",'[1]Исходные данные'!$F$2:$F$606,"35")</f>
        <v>0</v>
      </c>
      <c r="CH10" s="11">
        <f>SUMIFS('[1]Исходные данные'!$I$2:$I$606,'[1]Исходные данные'!$D$2:$D$606,"РМУ 2",'[1]Исходные данные'!$F$2:$F$606,"35")</f>
        <v>0</v>
      </c>
      <c r="CI10" s="11">
        <f>SUMIFS('[1]Исходные данные'!$J$2:$J$606,'[1]Исходные данные'!$D$2:$D$606,"РМУ 2",'[1]Исходные данные'!$F$2:$F$606,"35")</f>
        <v>0</v>
      </c>
      <c r="CJ10" s="11">
        <f>SUMIFS('[1]Исходные данные'!$I$2:$I$606,'[1]Исходные данные'!$D$2:$D$606,"ГАПиИТ",'[1]Исходные данные'!$F$2:$F$606,"35")</f>
        <v>0</v>
      </c>
      <c r="CK10" s="11">
        <f>SUMIFS('[1]Исходные данные'!$J$2:$J$606,'[1]Исходные данные'!$D$2:$D$606,"ГАПиИТ",'[1]Исходные данные'!$F$2:$F$606,"35")</f>
        <v>0</v>
      </c>
      <c r="CL10" s="11">
        <f>SUMIFS('[1]Исходные данные'!$I$2:$I$606,'[1]Исходные данные'!$D$2:$D$606,"ОМ",'[1]Исходные данные'!$F$2:$F$606,"35")</f>
        <v>0</v>
      </c>
      <c r="CM10" s="11">
        <f>SUMIFS('[1]Исходные данные'!$J$2:$J$606,'[1]Исходные данные'!$D$2:$D$606,"ОМ",'[1]Исходные данные'!$F$2:$F$606,"35")</f>
        <v>0</v>
      </c>
      <c r="CN10" s="11">
        <f>SUMIFS('[1]Исходные данные'!$I$2:$I$606,'[1]Исходные данные'!$D$2:$D$606,"оппоIR",'[1]Исходные данные'!$F$2:$F$606,"35")</f>
        <v>0</v>
      </c>
      <c r="CO10" s="11">
        <f>SUMIFS('[1]Исходные данные'!$J$2:$J$606,'[1]Исходные данные'!$D$2:$D$606,"оппоIR",'[1]Исходные данные'!$F$2:$F$606,"35")</f>
        <v>0</v>
      </c>
      <c r="CP10" s="11">
        <f>SUMIFS('[1]Исходные данные'!$I$2:$I$606,'[1]Исходные данные'!$D$2:$D$606,"Маркшейдер",'[1]Исходные данные'!$F$2:$F$606,"35")</f>
        <v>0</v>
      </c>
      <c r="CQ10" s="11">
        <f>SUMIFS('[1]Исходные данные'!$J$2:$J$606,'[1]Исходные данные'!$D$2:$D$606,"Маркшейдер",'[1]Исходные данные'!$F$2:$F$606,"35")</f>
        <v>0</v>
      </c>
      <c r="CR10" s="11">
        <f>SUMIFS('[1]Исходные данные'!$I$2:$I$606,'[1]Исходные данные'!$D$2:$D$606,"ПСО",'[1]Исходные данные'!$F$2:$F$606,"35")</f>
        <v>0</v>
      </c>
      <c r="CS10" s="11">
        <f>SUMIFS('[1]Исходные данные'!$J$2:$J$606,'[1]Исходные данные'!$D$2:$D$606,"ПСО",'[1]Исходные данные'!$F$2:$F$606,"35")</f>
        <v>0</v>
      </c>
    </row>
    <row r="11" spans="1:97" x14ac:dyDescent="0.25">
      <c r="A11" s="8" t="s">
        <v>67</v>
      </c>
      <c r="B11" s="9" t="s">
        <v>68</v>
      </c>
      <c r="C11" s="10">
        <f t="shared" si="0"/>
        <v>3</v>
      </c>
      <c r="D11" s="10">
        <f t="shared" si="1"/>
        <v>3</v>
      </c>
      <c r="E11" s="10">
        <f t="shared" si="1"/>
        <v>0</v>
      </c>
      <c r="F11" s="9">
        <f>SUMIFS('[1]Исходные данные'!$I$2:$I$606,'[1]Исходные данные'!$D$2:$D$606,"ЦДН-1",'[1]Исходные данные'!$F$2:$F$606,"50")</f>
        <v>1</v>
      </c>
      <c r="G11" s="9">
        <f>SUMIFS('[1]Исходные данные'!$J$2:$J$606,'[1]Исходные данные'!$D$2:$D$606,"ЦДН-1",'[1]Исходные данные'!$F$2:$F$606,"50")</f>
        <v>0</v>
      </c>
      <c r="H11" s="9">
        <f>SUMIFS('[1]Исходные данные'!$I$2:$I$606,'[1]Исходные данные'!$D$2:$D$606,"ЦДН-2",'[1]Исходные данные'!$F$2:$F$606,"50")</f>
        <v>0</v>
      </c>
      <c r="I11" s="9">
        <f>SUMIFS('[1]Исходные данные'!$J$2:$J$606,'[1]Исходные данные'!$D$2:$D$606,"ЦДН-2",'[1]Исходные данные'!$F$2:$F$606,"50")</f>
        <v>0</v>
      </c>
      <c r="J11" s="9">
        <f>SUMIFS('[1]Исходные данные'!$I$2:$I$606,'[1]Исходные данные'!$D$2:$D$606,"ЦДН-3",'[1]Исходные данные'!$F$2:$F$606,"50")</f>
        <v>0</v>
      </c>
      <c r="K11" s="9">
        <f>SUMIFS('[1]Исходные данные'!$J$2:$J$606,'[1]Исходные данные'!$D$2:$D$606,"ЦДН-3",'[1]Исходные данные'!$F$2:$F$606,"50")</f>
        <v>0</v>
      </c>
      <c r="L11" s="9">
        <f>SUMIFS('[1]Исходные данные'!$I$2:$I$606,'[1]Исходные данные'!$D$2:$D$606,"ЦППН",'[1]Исходные данные'!$F$2:$F$606,"50")</f>
        <v>0</v>
      </c>
      <c r="M11" s="9">
        <f>SUMIFS('[1]Исходные данные'!$J$2:$J$606,'[1]Исходные данные'!$D$2:$D$606,"ЦППН",'[1]Исходные данные'!$F$2:$F$606,"50")</f>
        <v>0</v>
      </c>
      <c r="N11" s="9">
        <f>SUMIFS('[1]Исходные данные'!$I$2:$I$606,'[1]Исходные данные'!$D$2:$D$606,"ЦППД",'[1]Исходные данные'!$F$2:$F$606,"50")</f>
        <v>0</v>
      </c>
      <c r="O11" s="9">
        <f>SUMIFS('[1]Исходные данные'!$J$2:$J$606,'[1]Исходные данные'!$D$2:$D$606,"ЦППД",'[1]Исходные данные'!$F$2:$F$606,"50")</f>
        <v>0</v>
      </c>
      <c r="P11" s="9">
        <f>SUMIFS('[1]Исходные данные'!$I$2:$I$606,'[1]Исходные данные'!$D$2:$D$606,"ЭЦ",'[1]Исходные данные'!$F$2:$F$606,"50")</f>
        <v>0</v>
      </c>
      <c r="Q11" s="9">
        <f>SUMIFS('[1]Исходные данные'!$J$2:$J$606,'[1]Исходные данные'!$D$2:$D$606,"ЭЦ",'[1]Исходные данные'!$F$2:$F$606,"50")</f>
        <v>0</v>
      </c>
      <c r="R11" s="9">
        <f>SUMIFS('[1]Исходные данные'!$I$2:$I$606,'[1]Исходные данные'!$D$2:$D$606,"ОКС",'[1]Исходные данные'!$F$2:$F$606,"50")</f>
        <v>1</v>
      </c>
      <c r="S11" s="9">
        <f>SUMIFS('[1]Исходные данные'!$J$2:$J$606,'[1]Исходные данные'!$D$2:$D$606,"ОКС",'[1]Исходные данные'!$F$2:$F$606,"50")</f>
        <v>0</v>
      </c>
      <c r="T11" s="9">
        <f>SUMIFS('[1]Исходные данные'!$I$2:$I$606,'[1]Исходные данные'!$D$2:$D$606,"РСЦ",'[1]Исходные данные'!$F$2:$F$606,"50")</f>
        <v>0</v>
      </c>
      <c r="U11" s="9">
        <f>SUMIFS('[1]Исходные данные'!$J$2:$J$606,'[1]Исходные данные'!$D$2:$D$606,"РСЦ",'[1]Исходные данные'!$F$2:$F$606,"50")</f>
        <v>0</v>
      </c>
      <c r="V11" s="9">
        <f>SUMIFS('[1]Исходные данные'!$I$2:$I$606,'[1]Исходные данные'!$D$2:$D$606,"ЦИТС",'[1]Исходные данные'!$F$2:$F$606,"50")</f>
        <v>0</v>
      </c>
      <c r="W11" s="9">
        <f>SUMIFS('[1]Исходные данные'!$J$2:$J$606,'[1]Исходные данные'!$D$2:$D$606,"ЦИТС",'[1]Исходные данные'!$F$2:$F$606,"50")</f>
        <v>0</v>
      </c>
      <c r="X11" s="9">
        <f>SUMIFS('[1]Исходные данные'!$I$2:$I$606,'[1]Исходные данные'!$D$2:$D$606,"ПРЦЭО",'[1]Исходные данные'!$F$2:$F$606,"50")</f>
        <v>0</v>
      </c>
      <c r="Y11" s="9">
        <f>SUMIFS('[1]Исходные данные'!$J$2:$J$606,'[1]Исходные данные'!$D$2:$D$606,"ПРЦЭО",'[1]Исходные данные'!$F$2:$F$606,"50")</f>
        <v>0</v>
      </c>
      <c r="Z11" s="9">
        <f>SUMIFS('[1]Исходные данные'!$I$2:$I$606,'[1]Исходные данные'!$D$2:$D$606,"ГЦ",'[1]Исходные данные'!$F$2:$F$606,"50")</f>
        <v>0</v>
      </c>
      <c r="AA11" s="9">
        <f>SUMIFS('[1]Исходные данные'!$J$2:$J$606,'[1]Исходные данные'!$D$2:$D$606,"ГЦ",'[1]Исходные данные'!$F$2:$F$606,"50")</f>
        <v>0</v>
      </c>
      <c r="AB11" s="9">
        <f>SUMIFS('[1]Исходные данные'!$I$2:$I$606,'[1]Исходные данные'!$D$2:$D$606,"ЦПП",'[1]Исходные данные'!$F$2:$F$606,"50")</f>
        <v>0</v>
      </c>
      <c r="AC11" s="9">
        <f>SUMIFS('[1]Исходные данные'!$J$2:$J$606,'[1]Исходные данные'!$D$2:$D$606,"ЦПП",'[1]Исходные данные'!$F$2:$F$606,"50")</f>
        <v>0</v>
      </c>
      <c r="AD11" s="9">
        <f>SUMIFS('[1]Исходные данные'!$I$2:$I$606,'[1]Исходные данные'!$D$2:$D$606,"БМТС",'[1]Исходные данные'!$F$2:$F$606,"50")</f>
        <v>0</v>
      </c>
      <c r="AE11" s="9">
        <f>SUMIFS('[1]Исходные данные'!$J$2:$J$606,'[1]Исходные данные'!$D$2:$D$606,"БМТС",'[1]Исходные данные'!$F$2:$F$606,"50")</f>
        <v>0</v>
      </c>
      <c r="AF11" s="9">
        <f>SUMIFS('[1]Исходные данные'!$I$2:$I$606,'[1]Исходные данные'!$D$2:$D$606,"УБиПКРС-1",'[1]Исходные данные'!$F$2:$F$606,"50")</f>
        <v>0</v>
      </c>
      <c r="AG11" s="9">
        <f>SUMIFS('[1]Исходные данные'!$J$2:$J$606,'[1]Исходные данные'!$D$2:$D$606,"УБиПКРС-1",'[1]Исходные данные'!$F$2:$F$606,"50")</f>
        <v>0</v>
      </c>
      <c r="AH11" s="9">
        <f>SUMIFS('[1]Исходные данные'!$I$2:$I$606,'[1]Исходные данные'!$D$2:$D$606,"УБиПКРС-2",'[1]Исходные данные'!$F$2:$F$606,"50")</f>
        <v>0</v>
      </c>
      <c r="AI11" s="9">
        <f>SUMIFS('[1]Исходные данные'!$J$2:$J$606,'[1]Исходные данные'!$D$2:$D$606,"УБиПКРС-2",'[1]Исходные данные'!$F$2:$F$606,"50")</f>
        <v>0</v>
      </c>
      <c r="AJ11" s="11">
        <f>SUMIFS('[1]Исходные данные'!$I$2:$I$606,'[1]Исходные данные'!$D$2:$D$606,"ДТТ-1",'[1]Исходные данные'!$F$2:$F$606,"50")</f>
        <v>0</v>
      </c>
      <c r="AK11" s="11">
        <f>SUMIFS('[1]Исходные данные'!$J$2:$J$606,'[1]Исходные данные'!$D$2:$D$606,"ДТТ-1",'[1]Исходные данные'!$F$2:$F$606,"50")</f>
        <v>0</v>
      </c>
      <c r="AL11" s="11">
        <f>SUMIFS('[1]Исходные данные'!$I$2:$I$606,'[1]Исходные данные'!$D$2:$D$606,"ЦНИПР",'[1]Исходные данные'!$F$2:$F$606,"50")</f>
        <v>0</v>
      </c>
      <c r="AM11" s="11">
        <f>SUMIFS('[1]Исходные данные'!$J$2:$J$606,'[1]Исходные данные'!$D$2:$D$606,"ЦНИПР",'[1]Исходные данные'!$F$2:$F$606,"50")</f>
        <v>0</v>
      </c>
      <c r="AN11" s="11">
        <f>SUMIFS('[1]Исходные данные'!$I$2:$I$606,'[1]Исходные данные'!$D$2:$D$606,"ОБиПКРС",'[1]Исходные данные'!$F$2:$F$606,"50")</f>
        <v>0</v>
      </c>
      <c r="AO11" s="11">
        <f>SUMIFS('[1]Исходные данные'!$J$2:$J$606,'[1]Исходные данные'!$D$2:$D$606,"ОБиПКРС",'[1]Исходные данные'!$F$2:$F$606,"50")</f>
        <v>0</v>
      </c>
      <c r="AP11" s="11">
        <f>SUMIFS('[1]Исходные данные'!$I$2:$I$606,'[1]Исходные данные'!$D$2:$D$606,"ЦАП",'[1]Исходные данные'!$F$2:$F$606,"50")</f>
        <v>0</v>
      </c>
      <c r="AQ11" s="11">
        <f>SUMIFS('[1]Исходные данные'!$J$2:$J$606,'[1]Исходные данные'!$D$2:$D$606,"ЦАП",'[1]Исходные данные'!$F$2:$F$606,"50")</f>
        <v>0</v>
      </c>
      <c r="AR11" s="11">
        <f>SUMIFS('[1]Исходные данные'!$I$2:$I$606,'[1]Исходные данные'!$D$2:$D$606,"ГООС",'[1]Исходные данные'!$F$2:$F$606,"50")</f>
        <v>0</v>
      </c>
      <c r="AS11" s="11">
        <f>SUMIFS('[1]Исходные данные'!$J$2:$J$606,'[1]Исходные данные'!$D$2:$D$606,"ГООС",'[1]Исходные данные'!$F$2:$F$606,"50")</f>
        <v>0</v>
      </c>
      <c r="AT11" s="11">
        <f>SUMIFS('[1]Исходные данные'!$I$2:$I$606,'[1]Исходные данные'!$D$2:$D$606,"Ақкетік",'[1]Исходные данные'!$F$2:$F$606,"50")</f>
        <v>1</v>
      </c>
      <c r="AU11" s="11">
        <f>SUMIFS('[1]Исходные данные'!$J$2:$J$606,'[1]Исходные данные'!$D$2:$D$606,"Ақкетік",'[1]Исходные данные'!$F$2:$F$606,"50")</f>
        <v>0</v>
      </c>
      <c r="AV11" s="11">
        <f>SUMIFS('[1]Исходные данные'!$I$2:$I$606,'[1]Исходные данные'!$D$2:$D$606,"Нейрон",'[1]Исходные данные'!$F$2:$F$606,"50")</f>
        <v>0</v>
      </c>
      <c r="AW11" s="11">
        <f>SUMIFS('[1]Исходные данные'!$J$2:$J$606,'[1]Исходные данные'!$D$2:$D$606,"Нейрон",'[1]Исходные данные'!$F$2:$F$606,"50")</f>
        <v>0</v>
      </c>
      <c r="AX11" s="11">
        <f>SUMIFS('[1]Исходные данные'!$I$2:$I$606,'[1]Исходные данные'!$D$2:$D$606,"Бурение",'[1]Исходные данные'!$F$2:$F$606,"50")</f>
        <v>0</v>
      </c>
      <c r="AY11" s="11">
        <f>SUMIFS('[1]Исходные данные'!$J$2:$J$606,'[1]Исходные данные'!$D$2:$D$606,"Бурение",'[1]Исходные данные'!$F$2:$F$606,"50")</f>
        <v>0</v>
      </c>
      <c r="AZ11" s="11">
        <f>SUMIFS('[1]Исходные данные'!$I$2:$I$606,'[1]Исходные данные'!$D$2:$D$606,"ЦТВС",'[1]Исходные данные'!$F$2:$F$606,"50")</f>
        <v>0</v>
      </c>
      <c r="BA11" s="11">
        <f>SUMIFS('[1]Исходные данные'!$J$2:$J$606,'[1]Исходные данные'!$D$2:$D$606,"ЦТВС",'[1]Исходные данные'!$F$2:$F$606,"50")</f>
        <v>0</v>
      </c>
      <c r="BB11" s="11">
        <f>SUMIFS('[1]Исходные данные'!$I$2:$I$606,'[1]Исходные данные'!$D$2:$D$606,"ТБ",'[1]Исходные данные'!$F$2:$F$606,"50")</f>
        <v>0</v>
      </c>
      <c r="BC11" s="11">
        <f>SUMIFS('[1]Исходные данные'!$J$2:$J$606,'[1]Исходные данные'!$D$2:$D$606,"ТБ",'[1]Исходные данные'!$F$2:$F$606,"50")</f>
        <v>0</v>
      </c>
      <c r="BD11" s="11">
        <f>SUMIFS('[1]Исходные данные'!$I$2:$I$606,'[1]Исходные данные'!$D$2:$D$606,"ОТДН",'[1]Исходные данные'!$F$2:$F$606,"50")</f>
        <v>0</v>
      </c>
      <c r="BE11" s="11">
        <f>SUMIFS('[1]Исходные данные'!$J$2:$J$606,'[1]Исходные данные'!$D$2:$D$606,"ОТДН",'[1]Исходные данные'!$F$2:$F$606,"50")</f>
        <v>0</v>
      </c>
      <c r="BF11" s="11">
        <f>SUMIFS('[1]Исходные данные'!$I$2:$I$606,'[1]Исходные данные'!$D$2:$D$606,"ПЧ-Семсер",'[1]Исходные данные'!$F$2:$F$606,"50")</f>
        <v>0</v>
      </c>
      <c r="BG11" s="11">
        <f>SUMIFS('[1]Исходные данные'!$J$2:$J$606,'[1]Исходные данные'!$D$2:$D$606,"ПЧ-Семсер",'[1]Исходные данные'!$F$2:$F$606,"50")</f>
        <v>0</v>
      </c>
      <c r="BH11" s="11">
        <f>SUMIFS('[1]Исходные данные'!$I$2:$I$606,'[1]Исходные данные'!$D$2:$D$606,"ПРЦЭО(2)",'[1]Исходные данные'!$F$2:$F$606,"50")</f>
        <v>0</v>
      </c>
      <c r="BI11" s="11">
        <f>SUMIFS('[1]Исходные данные'!$J$2:$J$606,'[1]Исходные данные'!$D$2:$D$606,"ПРЦЭО(2)",'[1]Исходные данные'!$F$2:$F$606,"50")</f>
        <v>0</v>
      </c>
      <c r="BJ11" s="11">
        <f>SUMIFS('[1]Исходные данные'!$I$2:$I$606,'[1]Исходные данные'!$D$2:$D$606,"БД",'[1]Исходные данные'!$F$2:$F$606,"50")</f>
        <v>0</v>
      </c>
      <c r="BK11" s="11">
        <f>SUMIFS('[1]Исходные данные'!$J$2:$J$606,'[1]Исходные данные'!$D$2:$D$606,"БД",'[1]Исходные данные'!$F$2:$F$606,"50")</f>
        <v>0</v>
      </c>
      <c r="BL11" s="11">
        <f>SUMIFS('[1]Исходные данные'!$I$2:$I$606,'[1]Исходные данные'!$D$2:$D$606,"ОГиР",'[1]Исходные данные'!$F$2:$F$606,"50")</f>
        <v>0</v>
      </c>
      <c r="BM11" s="11">
        <f>SUMIFS('[1]Исходные данные'!$J$2:$J$606,'[1]Исходные данные'!$D$2:$D$606,"ОГиР",'[1]Исходные данные'!$F$2:$F$606,"50")</f>
        <v>0</v>
      </c>
      <c r="BN11" s="11">
        <f>SUMIFS('[1]Исходные данные'!$I$2:$I$606,'[1]Исходные данные'!$D$2:$D$606,"ГСРиВК",'[1]Исходные данные'!$F$2:$F$606,"50")</f>
        <v>0</v>
      </c>
      <c r="BO11" s="11">
        <f>SUMIFS('[1]Исходные данные'!$J$2:$J$606,'[1]Исходные данные'!$D$2:$D$606,"ГСРиВК",'[1]Исходные данные'!$F$2:$F$606,"50")</f>
        <v>0</v>
      </c>
      <c r="BP11" s="11">
        <f>SUMIFS('[1]Исходные данные'!$I$2:$I$606,'[1]Исходные данные'!$D$2:$D$606,"МПГУ",'[1]Исходные данные'!$F$2:$F$606,"50")</f>
        <v>0</v>
      </c>
      <c r="BQ11" s="11">
        <f>SUMIFS('[1]Исходные данные'!$J$2:$J$606,'[1]Исходные данные'!$D$2:$D$606,"МПГУ",'[1]Исходные данные'!$F$2:$F$606,"50")</f>
        <v>0</v>
      </c>
      <c r="BR11" s="11">
        <f>SUMIFS('[1]Исходные данные'!$I$2:$I$606,'[1]Исходные данные'!$D$2:$D$606,"БПО 2",'[1]Исходные данные'!$F$2:$F$606,"50")</f>
        <v>0</v>
      </c>
      <c r="BS11" s="11">
        <f>SUMIFS('[1]Исходные данные'!$J$2:$J$606,'[1]Исходные данные'!$D$2:$D$606,"БПО 2",'[1]Исходные данные'!$F$2:$F$606,"50")</f>
        <v>0</v>
      </c>
      <c r="BT11" s="11">
        <f>SUMIFS('[1]Исходные данные'!$I$2:$I$606,'[1]Исходные данные'!$D$2:$D$606,"ЛД",'[1]Исходные данные'!$F$2:$F$606,"50")</f>
        <v>0</v>
      </c>
      <c r="BU11" s="11">
        <f>SUMIFS('[1]Исходные данные'!$J$2:$J$606,'[1]Исходные данные'!$D$2:$D$606,"ЛД",'[1]Исходные данные'!$F$2:$F$606,"50")</f>
        <v>0</v>
      </c>
      <c r="BV11" s="11">
        <f>SUMIFS('[1]Исходные данные'!$I$2:$I$606,'[1]Исходные данные'!$D$2:$D$606,"Отделкадр",'[1]Исходные данные'!$F$2:$F$606,"50")</f>
        <v>0</v>
      </c>
      <c r="BW11" s="11">
        <f>SUMIFS('[1]Исходные данные'!$J$2:$J$606,'[1]Исходные данные'!$D$2:$D$606,"Отделкадр",'[1]Исходные данные'!$F$2:$F$606,"50")</f>
        <v>0</v>
      </c>
      <c r="BX11" s="11">
        <f>SUMIFS('[1]Исходные данные'!$I$2:$I$606,'[1]Исходные данные'!$D$2:$D$606,"ЦИТС.",'[1]Исходные данные'!$F$2:$F$606,"50")</f>
        <v>0</v>
      </c>
      <c r="BY11" s="11">
        <f>SUMIFS('[1]Исходные данные'!$J$2:$J$606,'[1]Исходные данные'!$D$2:$D$606,"ЦИТС.",'[1]Исходные данные'!$F$2:$F$606,"50")</f>
        <v>0</v>
      </c>
      <c r="BZ11" s="11">
        <f>SUMIFS('[1]Исходные данные'!$I$2:$I$606,'[1]Исходные данные'!$D$2:$D$606,"ОБО",'[1]Исходные данные'!$F$2:$F$606,"50")</f>
        <v>0</v>
      </c>
      <c r="CA11" s="11">
        <f>SUMIFS('[1]Исходные данные'!$J$2:$J$606,'[1]Исходные данные'!$D$2:$D$606,"ОБО",'[1]Исходные данные'!$F$2:$F$606,"50")</f>
        <v>0</v>
      </c>
      <c r="CB11" s="11">
        <f>SUMIFS('[1]Исходные данные'!$I$2:$I$606,'[1]Исходные данные'!$D$2:$D$606,"УЖЭО",'[1]Исходные данные'!$F$2:$F$606,"50")</f>
        <v>0</v>
      </c>
      <c r="CC11" s="11">
        <f>SUMIFS('[1]Исходные данные'!$J$2:$J$606,'[1]Исходные данные'!$D$2:$D$606,"УЖЭО",'[1]Исходные данные'!$F$2:$F$606,"50")</f>
        <v>0</v>
      </c>
      <c r="CD11" s="11">
        <f>SUMIFS('[1]Исходные данные'!$I$2:$I$606,'[1]Исходные данные'!$D$2:$D$606,"Мухтар/Хамит",'[1]Исходные данные'!$F$2:$F$606,"50")</f>
        <v>0</v>
      </c>
      <c r="CE11" s="11">
        <f>SUMIFS('[1]Исходные данные'!$J$2:$J$606,'[1]Исходные данные'!$D$2:$D$606,"Мухтар/Хамит",'[1]Исходные данные'!$F$2:$F$606,"50")</f>
        <v>0</v>
      </c>
      <c r="CF11" s="11">
        <f>SUMIFS('[1]Исходные данные'!$I$2:$I$606,'[1]Исходные данные'!$D$2:$D$606,"ОБО-    СБ",'[1]Исходные данные'!$F$2:$F$606,"50")</f>
        <v>0</v>
      </c>
      <c r="CG11" s="11">
        <f>SUMIFS('[1]Исходные данные'!$J$2:$J$606,'[1]Исходные данные'!$D$2:$D$606,"ОБО-    СБ",'[1]Исходные данные'!$F$2:$F$606,"50")</f>
        <v>0</v>
      </c>
      <c r="CH11" s="11">
        <f>SUMIFS('[1]Исходные данные'!$I$2:$I$606,'[1]Исходные данные'!$D$2:$D$606,"РМУ 2",'[1]Исходные данные'!$F$2:$F$606,"50")</f>
        <v>0</v>
      </c>
      <c r="CI11" s="11">
        <f>SUMIFS('[1]Исходные данные'!$J$2:$J$606,'[1]Исходные данные'!$D$2:$D$606,"РМУ 2",'[1]Исходные данные'!$F$2:$F$606,"50")</f>
        <v>0</v>
      </c>
      <c r="CJ11" s="11">
        <f>SUMIFS('[1]Исходные данные'!$I$2:$I$606,'[1]Исходные данные'!$D$2:$D$606,"ГАПиИТ",'[1]Исходные данные'!$F$2:$F$606,"50")</f>
        <v>0</v>
      </c>
      <c r="CK11" s="11">
        <f>SUMIFS('[1]Исходные данные'!$J$2:$J$606,'[1]Исходные данные'!$D$2:$D$606,"ГАПиИТ",'[1]Исходные данные'!$F$2:$F$606,"50")</f>
        <v>0</v>
      </c>
      <c r="CL11" s="11">
        <f>SUMIFS('[1]Исходные данные'!$I$2:$I$606,'[1]Исходные данные'!$D$2:$D$606,"ОМ",'[1]Исходные данные'!$F$2:$F$606,"50")</f>
        <v>0</v>
      </c>
      <c r="CM11" s="11">
        <f>SUMIFS('[1]Исходные данные'!$J$2:$J$606,'[1]Исходные данные'!$D$2:$D$606,"ОМ",'[1]Исходные данные'!$F$2:$F$606,"50")</f>
        <v>0</v>
      </c>
      <c r="CN11" s="11">
        <f>SUMIFS('[1]Исходные данные'!$I$2:$I$606,'[1]Исходные данные'!$D$2:$D$606,"оппоIR",'[1]Исходные данные'!$F$2:$F$606,"50")</f>
        <v>0</v>
      </c>
      <c r="CO11" s="11">
        <f>SUMIFS('[1]Исходные данные'!$J$2:$J$606,'[1]Исходные данные'!$D$2:$D$606,"оппоIR",'[1]Исходные данные'!$F$2:$F$606,"50")</f>
        <v>0</v>
      </c>
      <c r="CP11" s="11">
        <f>SUMIFS('[1]Исходные данные'!$I$2:$I$606,'[1]Исходные данные'!$D$2:$D$606,"Маркшейдер",'[1]Исходные данные'!$F$2:$F$606,"50")</f>
        <v>0</v>
      </c>
      <c r="CQ11" s="11">
        <f>SUMIFS('[1]Исходные данные'!$J$2:$J$606,'[1]Исходные данные'!$D$2:$D$606,"Маркшейдер",'[1]Исходные данные'!$F$2:$F$606,"50")</f>
        <v>0</v>
      </c>
      <c r="CR11" s="11">
        <f>SUMIFS('[1]Исходные данные'!$I$2:$I$606,'[1]Исходные данные'!$D$2:$D$606,"ПСО",'[1]Исходные данные'!$F$2:$F$606,"50")</f>
        <v>0</v>
      </c>
      <c r="CS11" s="11">
        <f>SUMIFS('[1]Исходные данные'!$J$2:$J$606,'[1]Исходные данные'!$D$2:$D$606,"ПСО",'[1]Исходные данные'!$F$2:$F$606,"50")</f>
        <v>0</v>
      </c>
    </row>
    <row r="12" spans="1:97" x14ac:dyDescent="0.25">
      <c r="A12" s="13" t="s">
        <v>69</v>
      </c>
      <c r="B12" s="11" t="s">
        <v>70</v>
      </c>
      <c r="C12" s="10">
        <f t="shared" si="0"/>
        <v>211</v>
      </c>
      <c r="D12" s="10">
        <f t="shared" si="1"/>
        <v>159</v>
      </c>
      <c r="E12" s="10">
        <f t="shared" si="1"/>
        <v>52</v>
      </c>
      <c r="F12" s="11">
        <f>SUMIFS('[1]Исходные данные'!$I$2:$I$606,'[1]Исходные данные'!$D$2:$D$606,"ЦДН-1",'[1]Исходные данные'!$F$2:$F$606,"13")</f>
        <v>12</v>
      </c>
      <c r="G12" s="11">
        <f>SUMIFS('[1]Исходные данные'!$J$2:$J$606,'[1]Исходные данные'!$D$2:$D$606,"ЦДН-1",'[1]Исходные данные'!$F$2:$F$606,"13")</f>
        <v>6</v>
      </c>
      <c r="H12" s="11">
        <f>SUMIFS('[1]Исходные данные'!$I$2:$I$606,'[1]Исходные данные'!$D$2:$D$606,"ЦДН-2",'[1]Исходные данные'!$F$2:$F$606,"13")</f>
        <v>9</v>
      </c>
      <c r="I12" s="11">
        <f>SUMIFS('[1]Исходные данные'!$J$2:$J$606,'[1]Исходные данные'!$D$2:$D$606,"ЦДН-2",'[1]Исходные данные'!$F$2:$F$606,"13")</f>
        <v>6</v>
      </c>
      <c r="J12" s="11">
        <f>SUMIFS('[1]Исходные данные'!$I$2:$I$606,'[1]Исходные данные'!$D$2:$D$606,"ЦДН-3",'[1]Исходные данные'!$F$2:$F$606,"13")</f>
        <v>14</v>
      </c>
      <c r="K12" s="11">
        <f>SUMIFS('[1]Исходные данные'!$J$2:$J$606,'[1]Исходные данные'!$D$2:$D$606,"ЦДН-3",'[1]Исходные данные'!$F$2:$F$606,"13")</f>
        <v>7</v>
      </c>
      <c r="L12" s="11">
        <f>SUMIFS('[1]Исходные данные'!$I$2:$I$606,'[1]Исходные данные'!$D$2:$D$606,"ЦППН",'[1]Исходные данные'!$F$2:$F$606,"13")</f>
        <v>1</v>
      </c>
      <c r="M12" s="11">
        <f>SUMIFS('[1]Исходные данные'!$J$2:$J$606,'[1]Исходные данные'!$D$2:$D$606,"ЦППН",'[1]Исходные данные'!$F$2:$F$606,"13")</f>
        <v>0</v>
      </c>
      <c r="N12" s="11">
        <f>SUMIFS('[1]Исходные данные'!$I$2:$I$606,'[1]Исходные данные'!$D$2:$D$606,"ЦППД",'[1]Исходные данные'!$F$2:$F$606,"13")</f>
        <v>13</v>
      </c>
      <c r="O12" s="11">
        <f>SUMIFS('[1]Исходные данные'!$J$2:$J$606,'[1]Исходные данные'!$D$2:$D$606,"ЦППД",'[1]Исходные данные'!$F$2:$F$606,"13")</f>
        <v>1</v>
      </c>
      <c r="P12" s="11">
        <f>SUMIFS('[1]Исходные данные'!$I$2:$I$606,'[1]Исходные данные'!$D$2:$D$606,"ЭЦ",'[1]Исходные данные'!$F$2:$F$606,"13")</f>
        <v>15</v>
      </c>
      <c r="Q12" s="11">
        <f>SUMIFS('[1]Исходные данные'!$J$2:$J$606,'[1]Исходные данные'!$D$2:$D$606,"ЭЦ",'[1]Исходные данные'!$F$2:$F$606,"13")</f>
        <v>3</v>
      </c>
      <c r="R12" s="11">
        <f>SUMIFS('[1]Исходные данные'!$I$2:$I$606,'[1]Исходные данные'!$D$2:$D$606,"ОКС",'[1]Исходные данные'!$F$2:$F$606,"13")</f>
        <v>6</v>
      </c>
      <c r="S12" s="11">
        <f>SUMIFS('[1]Исходные данные'!$J$2:$J$606,'[1]Исходные данные'!$D$2:$D$606,"ОКС",'[1]Исходные данные'!$F$2:$F$606,"13")</f>
        <v>0</v>
      </c>
      <c r="T12" s="11">
        <f>SUMIFS('[1]Исходные данные'!$I$2:$I$606,'[1]Исходные данные'!$D$2:$D$606,"РСЦ",'[1]Исходные данные'!$F$2:$F$606,"13")</f>
        <v>4</v>
      </c>
      <c r="U12" s="11">
        <f>SUMIFS('[1]Исходные данные'!$J$2:$J$606,'[1]Исходные данные'!$D$2:$D$606,"РСЦ",'[1]Исходные данные'!$F$2:$F$606,"13")</f>
        <v>0</v>
      </c>
      <c r="V12" s="11">
        <f>SUMIFS('[1]Исходные данные'!$I$2:$I$606,'[1]Исходные данные'!$D$2:$D$606,"ЦИТС",'[1]Исходные данные'!$F$2:$F$606,"13")</f>
        <v>0</v>
      </c>
      <c r="W12" s="11">
        <f>SUMIFS('[1]Исходные данные'!$J$2:$J$606,'[1]Исходные данные'!$D$2:$D$606,"ЦИТС",'[1]Исходные данные'!$F$2:$F$606,"13")</f>
        <v>0</v>
      </c>
      <c r="X12" s="11">
        <f>SUMIFS('[1]Исходные данные'!$I$2:$I$606,'[1]Исходные данные'!$D$2:$D$606,"ПРЦЭО",'[1]Исходные данные'!$F$2:$F$606,"13")</f>
        <v>9</v>
      </c>
      <c r="Y12" s="11">
        <f>SUMIFS('[1]Исходные данные'!$J$2:$J$606,'[1]Исходные данные'!$D$2:$D$606,"ПРЦЭО",'[1]Исходные данные'!$F$2:$F$606,"13")</f>
        <v>0</v>
      </c>
      <c r="Z12" s="11">
        <f>SUMIFS('[1]Исходные данные'!$I$2:$I$606,'[1]Исходные данные'!$D$2:$D$606,"ГЦ",'[1]Исходные данные'!$F$2:$F$606,"13")</f>
        <v>6</v>
      </c>
      <c r="AA12" s="11">
        <f>SUMIFS('[1]Исходные данные'!$J$2:$J$606,'[1]Исходные данные'!$D$2:$D$606,"ГЦ",'[1]Исходные данные'!$F$2:$F$606,"13")</f>
        <v>2</v>
      </c>
      <c r="AB12" s="11">
        <f>SUMIFS('[1]Исходные данные'!$I$2:$I$606,'[1]Исходные данные'!$D$2:$D$606,"ЦПП",'[1]Исходные данные'!$F$2:$F$606,"13")</f>
        <v>7</v>
      </c>
      <c r="AC12" s="11">
        <f>SUMIFS('[1]Исходные данные'!$J$2:$J$606,'[1]Исходные данные'!$D$2:$D$606,"ЦПП",'[1]Исходные данные'!$F$2:$F$606,"13")</f>
        <v>3</v>
      </c>
      <c r="AD12" s="11">
        <f>SUMIFS('[1]Исходные данные'!$I$2:$I$606,'[1]Исходные данные'!$D$2:$D$606,"БМТС",'[1]Исходные данные'!$F$2:$F$606,"13")</f>
        <v>1</v>
      </c>
      <c r="AE12" s="11">
        <f>SUMIFS('[1]Исходные данные'!$J$2:$J$606,'[1]Исходные данные'!$D$2:$D$606,"БМТС",'[1]Исходные данные'!$F$2:$F$606,"13")</f>
        <v>0</v>
      </c>
      <c r="AF12" s="11">
        <f>SUMIFS('[1]Исходные данные'!$I$2:$I$606,'[1]Исходные данные'!$D$2:$D$606,"УБиПКРС-1",'[1]Исходные данные'!$F$2:$F$606,"13")</f>
        <v>14</v>
      </c>
      <c r="AG12" s="11">
        <f>SUMIFS('[1]Исходные данные'!$J$2:$J$606,'[1]Исходные данные'!$D$2:$D$606,"УБиПКРС-1",'[1]Исходные данные'!$F$2:$F$606,"13")</f>
        <v>9</v>
      </c>
      <c r="AH12" s="11">
        <f>SUMIFS('[1]Исходные данные'!$I$2:$I$606,'[1]Исходные данные'!$D$2:$D$606,"УБиПКРС-2",'[1]Исходные данные'!$F$2:$F$606,"13")</f>
        <v>3</v>
      </c>
      <c r="AI12" s="11">
        <f>SUMIFS('[1]Исходные данные'!$J$2:$J$606,'[1]Исходные данные'!$D$2:$D$606,"УБиПКРС-2",'[1]Исходные данные'!$F$2:$F$606,"13")</f>
        <v>4</v>
      </c>
      <c r="AJ12" s="11">
        <f>SUMIFS('[1]Исходные данные'!$I$2:$I$606,'[1]Исходные данные'!$D$2:$D$606,"ДТТ-1",'[1]Исходные данные'!$F$2:$F$606,"13")</f>
        <v>0</v>
      </c>
      <c r="AK12" s="11">
        <f>SUMIFS('[1]Исходные данные'!$J$2:$J$606,'[1]Исходные данные'!$D$2:$D$606,"ДТТ-1",'[1]Исходные данные'!$F$2:$F$606,"13")</f>
        <v>1</v>
      </c>
      <c r="AL12" s="11">
        <f>SUMIFS('[1]Исходные данные'!$I$2:$I$606,'[1]Исходные данные'!$D$2:$D$606,"ЦНИПР",'[1]Исходные данные'!$F$2:$F$606,"13")</f>
        <v>5</v>
      </c>
      <c r="AM12" s="11">
        <f>SUMIFS('[1]Исходные данные'!$J$2:$J$606,'[1]Исходные данные'!$D$2:$D$606,"ЦНИПР",'[1]Исходные данные'!$F$2:$F$606,"13")</f>
        <v>2</v>
      </c>
      <c r="AN12" s="11">
        <f>SUMIFS('[1]Исходные данные'!$I$2:$I$606,'[1]Исходные данные'!$D$2:$D$606,"ОБиПКРС",'[1]Исходные данные'!$F$2:$F$606,"13")</f>
        <v>6</v>
      </c>
      <c r="AO12" s="11">
        <f>SUMIFS('[1]Исходные данные'!$J$2:$J$606,'[1]Исходные данные'!$D$2:$D$606,"ОБиПКРС",'[1]Исходные данные'!$F$2:$F$606,"13")</f>
        <v>4</v>
      </c>
      <c r="AP12" s="11">
        <f>SUMIFS('[1]Исходные данные'!$I$2:$I$606,'[1]Исходные данные'!$D$2:$D$606,"ЦАП",'[1]Исходные данные'!$F$2:$F$606,"13")</f>
        <v>7</v>
      </c>
      <c r="AQ12" s="11">
        <f>SUMIFS('[1]Исходные данные'!$J$2:$J$606,'[1]Исходные данные'!$D$2:$D$606,"ЦАП",'[1]Исходные данные'!$F$2:$F$606,"13")</f>
        <v>1</v>
      </c>
      <c r="AR12" s="11">
        <f>SUMIFS('[1]Исходные данные'!$I$2:$I$606,'[1]Исходные данные'!$D$2:$D$606,"ГООС",'[1]Исходные данные'!$F$2:$F$606,"13")</f>
        <v>2</v>
      </c>
      <c r="AS12" s="11">
        <f>SUMIFS('[1]Исходные данные'!$J$2:$J$606,'[1]Исходные данные'!$D$2:$D$606,"ГООС",'[1]Исходные данные'!$F$2:$F$606,"13")</f>
        <v>0</v>
      </c>
      <c r="AT12" s="11">
        <f>SUMIFS('[1]Исходные данные'!$I$2:$I$606,'[1]Исходные данные'!$D$2:$D$606,"Ақкетік",'[1]Исходные данные'!$F$2:$F$606,"13")</f>
        <v>0</v>
      </c>
      <c r="AU12" s="11">
        <f>SUMIFS('[1]Исходные данные'!$J$2:$J$606,'[1]Исходные данные'!$D$2:$D$606,"Ақкетік",'[1]Исходные данные'!$F$2:$F$606,"13")</f>
        <v>0</v>
      </c>
      <c r="AV12" s="11">
        <f>SUMIFS('[1]Исходные данные'!$I$2:$I$606,'[1]Исходные данные'!$D$2:$D$606,"Нейрон",'[1]Исходные данные'!$F$2:$F$606,"13")</f>
        <v>0</v>
      </c>
      <c r="AW12" s="11">
        <f>SUMIFS('[1]Исходные данные'!$J$2:$J$606,'[1]Исходные данные'!$D$2:$D$606,"Нейрон",'[1]Исходные данные'!$F$2:$F$606,"13")</f>
        <v>0</v>
      </c>
      <c r="AX12" s="11">
        <f>SUMIFS('[1]Исходные данные'!$I$2:$I$606,'[1]Исходные данные'!$D$2:$D$606,"Бурение",'[1]Исходные данные'!$F$2:$F$606,"13")</f>
        <v>1</v>
      </c>
      <c r="AY12" s="11">
        <f>SUMIFS('[1]Исходные данные'!$J$2:$J$606,'[1]Исходные данные'!$D$2:$D$606,"Бурение",'[1]Исходные данные'!$F$2:$F$606,"13")</f>
        <v>0</v>
      </c>
      <c r="AZ12" s="11">
        <f>SUMIFS('[1]Исходные данные'!$I$2:$I$606,'[1]Исходные данные'!$D$2:$D$606,"ЦТВС",'[1]Исходные данные'!$F$2:$F$606,"13")</f>
        <v>3</v>
      </c>
      <c r="BA12" s="11">
        <f>SUMIFS('[1]Исходные данные'!$J$2:$J$606,'[1]Исходные данные'!$D$2:$D$606,"ЦТВС",'[1]Исходные данные'!$F$2:$F$606,"13")</f>
        <v>0</v>
      </c>
      <c r="BB12" s="11">
        <f>SUMIFS('[1]Исходные данные'!$I$2:$I$606,'[1]Исходные данные'!$D$2:$D$606,"ТБ",'[1]Исходные данные'!$F$2:$F$606,"13")</f>
        <v>4</v>
      </c>
      <c r="BC12" s="11">
        <f>SUMIFS('[1]Исходные данные'!$J$2:$J$606,'[1]Исходные данные'!$D$2:$D$606,"ТБ",'[1]Исходные данные'!$F$2:$F$606,"13")</f>
        <v>0</v>
      </c>
      <c r="BD12" s="11">
        <f>SUMIFS('[1]Исходные данные'!$I$2:$I$606,'[1]Исходные данные'!$D$2:$D$606,"ОТДН",'[1]Исходные данные'!$F$2:$F$606,"13")</f>
        <v>5</v>
      </c>
      <c r="BE12" s="11">
        <f>SUMIFS('[1]Исходные данные'!$J$2:$J$606,'[1]Исходные данные'!$D$2:$D$606,"ОТДН",'[1]Исходные данные'!$F$2:$F$606,"13")</f>
        <v>1</v>
      </c>
      <c r="BF12" s="11">
        <f>SUMIFS('[1]Исходные данные'!$I$2:$I$606,'[1]Исходные данные'!$D$2:$D$606,"ПЧ-Семсер",'[1]Исходные данные'!$F$2:$F$606,"13")</f>
        <v>1</v>
      </c>
      <c r="BG12" s="11">
        <f>SUMIFS('[1]Исходные данные'!$J$2:$J$606,'[1]Исходные данные'!$D$2:$D$606,"ПЧ-Семсер",'[1]Исходные данные'!$F$2:$F$606,"13")</f>
        <v>0</v>
      </c>
      <c r="BH12" s="11">
        <f>SUMIFS('[1]Исходные данные'!$I$2:$I$606,'[1]Исходные данные'!$D$2:$D$606,"ПРЦЭО(2)",'[1]Исходные данные'!$F$2:$F$606,"13")</f>
        <v>0</v>
      </c>
      <c r="BI12" s="11">
        <f>SUMIFS('[1]Исходные данные'!$J$2:$J$606,'[1]Исходные данные'!$D$2:$D$606,"ПРЦЭО(2)",'[1]Исходные данные'!$F$2:$F$606,"13")</f>
        <v>0</v>
      </c>
      <c r="BJ12" s="11">
        <f>SUMIFS('[1]Исходные данные'!$I$2:$I$606,'[1]Исходные данные'!$D$2:$D$606,"БД",'[1]Исходные данные'!$F$2:$F$606,"13")</f>
        <v>0</v>
      </c>
      <c r="BK12" s="11">
        <f>SUMIFS('[1]Исходные данные'!$J$2:$J$606,'[1]Исходные данные'!$D$2:$D$606,"БД",'[1]Исходные данные'!$F$2:$F$606,"13")</f>
        <v>0</v>
      </c>
      <c r="BL12" s="11">
        <f>SUMIFS('[1]Исходные данные'!$I$2:$I$606,'[1]Исходные данные'!$D$2:$D$606,"ОГиР",'[1]Исходные данные'!$F$2:$F$606,"13")</f>
        <v>2</v>
      </c>
      <c r="BM12" s="11">
        <f>SUMIFS('[1]Исходные данные'!$J$2:$J$606,'[1]Исходные данные'!$D$2:$D$606,"ОГиР",'[1]Исходные данные'!$F$2:$F$606,"13")</f>
        <v>0</v>
      </c>
      <c r="BN12" s="11">
        <f>SUMIFS('[1]Исходные данные'!$I$2:$I$606,'[1]Исходные данные'!$D$2:$D$606,"ГСРиВК",'[1]Исходные данные'!$F$2:$F$606,"13")</f>
        <v>1</v>
      </c>
      <c r="BO12" s="11">
        <f>SUMIFS('[1]Исходные данные'!$J$2:$J$606,'[1]Исходные данные'!$D$2:$D$606,"ГСРиВК",'[1]Исходные данные'!$F$2:$F$606,"13")</f>
        <v>1</v>
      </c>
      <c r="BP12" s="11">
        <f>SUMIFS('[1]Исходные данные'!$I$2:$I$606,'[1]Исходные данные'!$D$2:$D$606,"МПГУ",'[1]Исходные данные'!$F$2:$F$606,"13")</f>
        <v>0</v>
      </c>
      <c r="BQ12" s="11">
        <f>SUMIFS('[1]Исходные данные'!$J$2:$J$606,'[1]Исходные данные'!$D$2:$D$606,"МПГУ",'[1]Исходные данные'!$F$2:$F$606,"13")</f>
        <v>0</v>
      </c>
      <c r="BR12" s="11">
        <f>SUMIFS('[1]Исходные данные'!$I$2:$I$606,'[1]Исходные данные'!$D$2:$D$606,"БПО 2",'[1]Исходные данные'!$F$2:$F$606,"13")</f>
        <v>1</v>
      </c>
      <c r="BS12" s="11">
        <f>SUMIFS('[1]Исходные данные'!$J$2:$J$606,'[1]Исходные данные'!$D$2:$D$606,"БПО 2",'[1]Исходные данные'!$F$2:$F$606,"13")</f>
        <v>1</v>
      </c>
      <c r="BT12" s="11">
        <f>SUMIFS('[1]Исходные данные'!$I$2:$I$606,'[1]Исходные данные'!$D$2:$D$606,"ЛД",'[1]Исходные данные'!$F$2:$F$606,"13")</f>
        <v>2</v>
      </c>
      <c r="BU12" s="11">
        <f>SUMIFS('[1]Исходные данные'!$J$2:$J$606,'[1]Исходные данные'!$D$2:$D$606,"ЛД",'[1]Исходные данные'!$F$2:$F$606,"13")</f>
        <v>0</v>
      </c>
      <c r="BV12" s="11">
        <f>SUMIFS('[1]Исходные данные'!$I$2:$I$606,'[1]Исходные данные'!$D$2:$D$606,"Отделкадр",'[1]Исходные данные'!$F$2:$F$606,"13")</f>
        <v>0</v>
      </c>
      <c r="BW12" s="11">
        <f>SUMIFS('[1]Исходные данные'!$J$2:$J$606,'[1]Исходные данные'!$D$2:$D$606,"Отделкадр",'[1]Исходные данные'!$F$2:$F$606,"13")</f>
        <v>0</v>
      </c>
      <c r="BX12" s="11">
        <f>SUMIFS('[1]Исходные данные'!$I$2:$I$606,'[1]Исходные данные'!$D$2:$D$606,"ЦИТС.",'[1]Исходные данные'!$F$2:$F$606,"13")</f>
        <v>2</v>
      </c>
      <c r="BY12" s="11">
        <f>SUMIFS('[1]Исходные данные'!$J$2:$J$606,'[1]Исходные данные'!$D$2:$D$606,"ЦИТС.",'[1]Исходные данные'!$F$2:$F$606,"13")</f>
        <v>0</v>
      </c>
      <c r="BZ12" s="11">
        <f>SUMIFS('[1]Исходные данные'!$I$2:$I$606,'[1]Исходные данные'!$D$2:$D$606,"ОБО",'[1]Исходные данные'!$F$2:$F$606,"13")</f>
        <v>0</v>
      </c>
      <c r="CA12" s="11">
        <f>SUMIFS('[1]Исходные данные'!$J$2:$J$606,'[1]Исходные данные'!$D$2:$D$606,"ОБО",'[1]Исходные данные'!$F$2:$F$606,"13")</f>
        <v>0</v>
      </c>
      <c r="CB12" s="11">
        <f>SUMIFS('[1]Исходные данные'!$I$2:$I$606,'[1]Исходные данные'!$D$2:$D$606,"УЖЭО",'[1]Исходные данные'!$F$2:$F$606,"13")</f>
        <v>0</v>
      </c>
      <c r="CC12" s="11">
        <f>SUMIFS('[1]Исходные данные'!$J$2:$J$606,'[1]Исходные данные'!$D$2:$D$606,"УЖЭО",'[1]Исходные данные'!$F$2:$F$606,"13")</f>
        <v>0</v>
      </c>
      <c r="CD12" s="11">
        <f>SUMIFS('[1]Исходные данные'!$I$2:$I$606,'[1]Исходные данные'!$D$2:$D$606,"Мухтар/Хамит",'[1]Исходные данные'!$F$2:$F$606,"13")</f>
        <v>0</v>
      </c>
      <c r="CE12" s="11">
        <f>SUMIFS('[1]Исходные данные'!$J$2:$J$606,'[1]Исходные данные'!$D$2:$D$606,"Мухтар/Хамит",'[1]Исходные данные'!$F$2:$F$606,"13")</f>
        <v>0</v>
      </c>
      <c r="CF12" s="11">
        <f>SUMIFS('[1]Исходные данные'!$I$2:$I$606,'[1]Исходные данные'!$D$2:$D$606,"ОБО-    СБ",'[1]Исходные данные'!$F$2:$F$606,"13")</f>
        <v>0</v>
      </c>
      <c r="CG12" s="11">
        <f>SUMIFS('[1]Исходные данные'!$J$2:$J$606,'[1]Исходные данные'!$D$2:$D$606,"ОБО-    СБ",'[1]Исходные данные'!$F$2:$F$606,"13")</f>
        <v>0</v>
      </c>
      <c r="CH12" s="11">
        <f>SUMIFS('[1]Исходные данные'!$I$2:$I$606,'[1]Исходные данные'!$D$2:$D$606,"РМУ 2",'[1]Исходные данные'!$F$2:$F$606,"13")</f>
        <v>0</v>
      </c>
      <c r="CI12" s="11">
        <f>SUMIFS('[1]Исходные данные'!$J$2:$J$606,'[1]Исходные данные'!$D$2:$D$606,"РМУ 2",'[1]Исходные данные'!$F$2:$F$606,"13")</f>
        <v>0</v>
      </c>
      <c r="CJ12" s="11">
        <f>SUMIFS('[1]Исходные данные'!$I$2:$I$606,'[1]Исходные данные'!$D$2:$D$606,"ГАПиИТ",'[1]Исходные данные'!$F$2:$F$606,"13")</f>
        <v>0</v>
      </c>
      <c r="CK12" s="11">
        <f>SUMIFS('[1]Исходные данные'!$J$2:$J$606,'[1]Исходные данные'!$D$2:$D$606,"ГАПиИТ",'[1]Исходные данные'!$F$2:$F$606,"13")</f>
        <v>0</v>
      </c>
      <c r="CL12" s="11">
        <f>SUMIFS('[1]Исходные данные'!$I$2:$I$606,'[1]Исходные данные'!$D$2:$D$606,"ОМ",'[1]Исходные данные'!$F$2:$F$606,"13")</f>
        <v>1</v>
      </c>
      <c r="CM12" s="11">
        <f>SUMIFS('[1]Исходные данные'!$J$2:$J$606,'[1]Исходные данные'!$D$2:$D$606,"ОМ",'[1]Исходные данные'!$F$2:$F$606,"13")</f>
        <v>0</v>
      </c>
      <c r="CN12" s="11">
        <f>SUMIFS('[1]Исходные данные'!$I$2:$I$606,'[1]Исходные данные'!$D$2:$D$606,"оппоIR",'[1]Исходные данные'!$F$2:$F$606,"13")</f>
        <v>1</v>
      </c>
      <c r="CO12" s="11">
        <f>SUMIFS('[1]Исходные данные'!$J$2:$J$606,'[1]Исходные данные'!$D$2:$D$606,"оппоIR",'[1]Исходные данные'!$F$2:$F$606,"13")</f>
        <v>0</v>
      </c>
      <c r="CP12" s="11">
        <f>SUMIFS('[1]Исходные данные'!$I$2:$I$606,'[1]Исходные данные'!$D$2:$D$606,"Маркшейдер",'[1]Исходные данные'!$F$2:$F$606,"13")</f>
        <v>0</v>
      </c>
      <c r="CQ12" s="11">
        <f>SUMIFS('[1]Исходные данные'!$J$2:$J$606,'[1]Исходные данные'!$D$2:$D$606,"Маркшейдер",'[1]Исходные данные'!$F$2:$F$606,"13")</f>
        <v>0</v>
      </c>
      <c r="CR12" s="11">
        <f>SUMIFS('[1]Исходные данные'!$I$2:$I$606,'[1]Исходные данные'!$D$2:$D$606,"ПСО",'[1]Исходные данные'!$F$2:$F$606,"13")</f>
        <v>1</v>
      </c>
      <c r="CS12" s="11">
        <f>SUMIFS('[1]Исходные данные'!$J$2:$J$606,'[1]Исходные данные'!$D$2:$D$606,"ПСО",'[1]Исходные данные'!$F$2:$F$606,"13")</f>
        <v>0</v>
      </c>
    </row>
    <row r="13" spans="1:97" x14ac:dyDescent="0.25">
      <c r="A13" s="13" t="s">
        <v>71</v>
      </c>
      <c r="B13" s="11" t="s">
        <v>72</v>
      </c>
      <c r="C13" s="10">
        <f t="shared" si="0"/>
        <v>58</v>
      </c>
      <c r="D13" s="10">
        <f t="shared" si="1"/>
        <v>55</v>
      </c>
      <c r="E13" s="10">
        <f t="shared" si="1"/>
        <v>3</v>
      </c>
      <c r="F13" s="11">
        <f>SUMIFS('[1]Исходные данные'!$I$2:$I$606,'[1]Исходные данные'!$D$2:$D$606,"ЦДН-1",'[1]Исходные данные'!$F$2:$F$606,"13.1")</f>
        <v>9</v>
      </c>
      <c r="G13" s="11">
        <f>SUMIFS('[1]Исходные данные'!$J$2:$J$606,'[1]Исходные данные'!$D$2:$D$606,"ЦДН-1",'[1]Исходные данные'!$F$2:$F$606,"13.1")</f>
        <v>1</v>
      </c>
      <c r="H13" s="11">
        <f>SUMIFS('[1]Исходные данные'!$I$2:$I$606,'[1]Исходные данные'!$D$2:$D$606,"ЦДН-2",'[1]Исходные данные'!$F$2:$F$606,"13.1")</f>
        <v>8</v>
      </c>
      <c r="I13" s="11">
        <f>SUMIFS('[1]Исходные данные'!$J$2:$J$606,'[1]Исходные данные'!$D$2:$D$606,"ЦДН-2",'[1]Исходные данные'!$F$2:$F$606,"13.1")</f>
        <v>0</v>
      </c>
      <c r="J13" s="11">
        <f>SUMIFS('[1]Исходные данные'!$I$2:$I$606,'[1]Исходные данные'!$D$2:$D$606,"ЦДН-3",'[1]Исходные данные'!$F$2:$F$606,"13.1")</f>
        <v>9</v>
      </c>
      <c r="K13" s="11">
        <f>SUMIFS('[1]Исходные данные'!$J$2:$J$606,'[1]Исходные данные'!$D$2:$D$606,"ЦДН-3",'[1]Исходные данные'!$F$2:$F$606,"13.1")</f>
        <v>0</v>
      </c>
      <c r="L13" s="11">
        <f>SUMIFS('[1]Исходные данные'!$I$2:$I$606,'[1]Исходные данные'!$D$2:$D$606,"ЦППН",'[1]Исходные данные'!$F$2:$F$606,"13.1")</f>
        <v>0</v>
      </c>
      <c r="M13" s="11">
        <f>SUMIFS('[1]Исходные данные'!$J$2:$J$606,'[1]Исходные данные'!$D$2:$D$606,"ЦППН",'[1]Исходные данные'!$F$2:$F$606,"13.1")</f>
        <v>0</v>
      </c>
      <c r="N13" s="11">
        <f>SUMIFS('[1]Исходные данные'!$I$2:$I$606,'[1]Исходные данные'!$D$2:$D$606,"ЦППД",'[1]Исходные данные'!$F$2:$F$606,"13.1")</f>
        <v>0</v>
      </c>
      <c r="O13" s="11">
        <f>SUMIFS('[1]Исходные данные'!$J$2:$J$606,'[1]Исходные данные'!$D$2:$D$606,"ЦППД",'[1]Исходные данные'!$F$2:$F$606,"13.1")</f>
        <v>0</v>
      </c>
      <c r="P13" s="11">
        <f>SUMIFS('[1]Исходные данные'!$I$2:$I$606,'[1]Исходные данные'!$D$2:$D$606,"ЭЦ",'[1]Исходные данные'!$F$2:$F$606,"13.1")</f>
        <v>2</v>
      </c>
      <c r="Q13" s="11">
        <f>SUMIFS('[1]Исходные данные'!$J$2:$J$606,'[1]Исходные данные'!$D$2:$D$606,"ЭЦ",'[1]Исходные данные'!$F$2:$F$606,"13.1")</f>
        <v>0</v>
      </c>
      <c r="R13" s="11">
        <f>SUMIFS('[1]Исходные данные'!$I$2:$I$606,'[1]Исходные данные'!$D$2:$D$606,"ОКС",'[1]Исходные данные'!$F$2:$F$606,"13.1")</f>
        <v>0</v>
      </c>
      <c r="S13" s="11">
        <f>SUMIFS('[1]Исходные данные'!$J$2:$J$606,'[1]Исходные данные'!$D$2:$D$606,"ОКС",'[1]Исходные данные'!$F$2:$F$606,"13.1")</f>
        <v>0</v>
      </c>
      <c r="T13" s="11">
        <f>SUMIFS('[1]Исходные данные'!$I$2:$I$606,'[1]Исходные данные'!$D$2:$D$606,"РСЦ",'[1]Исходные данные'!$F$2:$F$606,"13.1")</f>
        <v>2</v>
      </c>
      <c r="U13" s="11">
        <f>SUMIFS('[1]Исходные данные'!$J$2:$J$606,'[1]Исходные данные'!$D$2:$D$606,"РСЦ",'[1]Исходные данные'!$F$2:$F$606,"13.1")</f>
        <v>0</v>
      </c>
      <c r="V13" s="11">
        <f>SUMIFS('[1]Исходные данные'!$I$2:$I$606,'[1]Исходные данные'!$D$2:$D$606,"ЦИТС",'[1]Исходные данные'!$F$2:$F$606,"13.1")</f>
        <v>0</v>
      </c>
      <c r="W13" s="11">
        <f>SUMIFS('[1]Исходные данные'!$J$2:$J$606,'[1]Исходные данные'!$D$2:$D$606,"ЦИТС",'[1]Исходные данные'!$F$2:$F$606,"13.1")</f>
        <v>0</v>
      </c>
      <c r="X13" s="11">
        <f>SUMIFS('[1]Исходные данные'!$I$2:$I$606,'[1]Исходные данные'!$D$2:$D$606,"ПРЦЭО",'[1]Исходные данные'!$F$2:$F$606,"13.1")</f>
        <v>0</v>
      </c>
      <c r="Y13" s="11">
        <f>SUMIFS('[1]Исходные данные'!$J$2:$J$606,'[1]Исходные данные'!$D$2:$D$606,"ПРЦЭО",'[1]Исходные данные'!$F$2:$F$606,"13.1")</f>
        <v>0</v>
      </c>
      <c r="Z13" s="11">
        <f>SUMIFS('[1]Исходные данные'!$I$2:$I$606,'[1]Исходные данные'!$D$2:$D$606,"ГЦ",'[1]Исходные данные'!$F$2:$F$606,"13.1")</f>
        <v>1</v>
      </c>
      <c r="AA13" s="11">
        <f>SUMIFS('[1]Исходные данные'!$J$2:$J$606,'[1]Исходные данные'!$D$2:$D$606,"ГЦ",'[1]Исходные данные'!$F$2:$F$606,"13.1")</f>
        <v>0</v>
      </c>
      <c r="AB13" s="11">
        <f>SUMIFS('[1]Исходные данные'!$I$2:$I$606,'[1]Исходные данные'!$D$2:$D$606,"ЦПП",'[1]Исходные данные'!$F$2:$F$606,"13.1")</f>
        <v>0</v>
      </c>
      <c r="AC13" s="11">
        <f>SUMIFS('[1]Исходные данные'!$J$2:$J$606,'[1]Исходные данные'!$D$2:$D$606,"ЦПП",'[1]Исходные данные'!$F$2:$F$606,"13.1")</f>
        <v>0</v>
      </c>
      <c r="AD13" s="11">
        <f>SUMIFS('[1]Исходные данные'!$I$2:$I$606,'[1]Исходные данные'!$D$2:$D$606,"БМТС",'[1]Исходные данные'!$F$2:$F$606,"13.1")</f>
        <v>1</v>
      </c>
      <c r="AE13" s="11">
        <f>SUMIFS('[1]Исходные данные'!$J$2:$J$606,'[1]Исходные данные'!$D$2:$D$606,"БМТС",'[1]Исходные данные'!$F$2:$F$606,"13.1")</f>
        <v>0</v>
      </c>
      <c r="AF13" s="11">
        <f>SUMIFS('[1]Исходные данные'!$I$2:$I$606,'[1]Исходные данные'!$D$2:$D$606,"УБиПКРС-1",'[1]Исходные данные'!$F$2:$F$606,"13.1")</f>
        <v>0</v>
      </c>
      <c r="AG13" s="11">
        <f>SUMIFS('[1]Исходные данные'!$J$2:$J$606,'[1]Исходные данные'!$D$2:$D$606,"УБиПКРС-1",'[1]Исходные данные'!$F$2:$F$606,"13.1")</f>
        <v>0</v>
      </c>
      <c r="AH13" s="11">
        <f>SUMIFS('[1]Исходные данные'!$I$2:$I$606,'[1]Исходные данные'!$D$2:$D$606,"УБиПКРС-2",'[1]Исходные данные'!$F$2:$F$606,"13.1")</f>
        <v>0</v>
      </c>
      <c r="AI13" s="11">
        <f>SUMIFS('[1]Исходные данные'!$J$2:$J$606,'[1]Исходные данные'!$D$2:$D$606,"УБиПКРС-2",'[1]Исходные данные'!$F$2:$F$606,"13.1")</f>
        <v>0</v>
      </c>
      <c r="AJ13" s="11">
        <f>SUMIFS('[1]Исходные данные'!$I$2:$I$606,'[1]Исходные данные'!$D$2:$D$606,"ДТТ-1",'[1]Исходные данные'!$F$2:$F$606,"13.1")</f>
        <v>8</v>
      </c>
      <c r="AK13" s="11">
        <f>SUMIFS('[1]Исходные данные'!$J$2:$J$606,'[1]Исходные данные'!$D$2:$D$606,"ДТТ-1",'[1]Исходные данные'!$F$2:$F$606,"13.1")</f>
        <v>0</v>
      </c>
      <c r="AL13" s="11">
        <f>SUMIFS('[1]Исходные данные'!$I$2:$I$606,'[1]Исходные данные'!$D$2:$D$606,"ЦНИПР",'[1]Исходные данные'!$F$2:$F$606,"13.1")</f>
        <v>0</v>
      </c>
      <c r="AM13" s="11">
        <f>SUMIFS('[1]Исходные данные'!$J$2:$J$606,'[1]Исходные данные'!$D$2:$D$606,"ЦНИПР",'[1]Исходные данные'!$F$2:$F$606,"13.1")</f>
        <v>0</v>
      </c>
      <c r="AN13" s="11">
        <f>SUMIFS('[1]Исходные данные'!$I$2:$I$606,'[1]Исходные данные'!$D$2:$D$606,"ОБиПКРС",'[1]Исходные данные'!$F$2:$F$606,"13.1")</f>
        <v>0</v>
      </c>
      <c r="AO13" s="11">
        <f>SUMIFS('[1]Исходные данные'!$J$2:$J$606,'[1]Исходные данные'!$D$2:$D$606,"ОБиПКРС",'[1]Исходные данные'!$F$2:$F$606,"13.1")</f>
        <v>0</v>
      </c>
      <c r="AP13" s="11">
        <f>SUMIFS('[1]Исходные данные'!$I$2:$I$606,'[1]Исходные данные'!$D$2:$D$606,"ЦАП",'[1]Исходные данные'!$F$2:$F$606,"13.1")</f>
        <v>0</v>
      </c>
      <c r="AQ13" s="11">
        <f>SUMIFS('[1]Исходные данные'!$J$2:$J$606,'[1]Исходные данные'!$D$2:$D$606,"ЦАП",'[1]Исходные данные'!$F$2:$F$606,"13.1")</f>
        <v>0</v>
      </c>
      <c r="AR13" s="11">
        <f>SUMIFS('[1]Исходные данные'!$I$2:$I$606,'[1]Исходные данные'!$D$2:$D$606,"ГООС",'[1]Исходные данные'!$F$2:$F$606,"13.1")</f>
        <v>0</v>
      </c>
      <c r="AS13" s="11">
        <f>SUMIFS('[1]Исходные данные'!$J$2:$J$606,'[1]Исходные данные'!$D$2:$D$606,"ГООС",'[1]Исходные данные'!$F$2:$F$606,"13.1")</f>
        <v>0</v>
      </c>
      <c r="AT13" s="11">
        <f>SUMIFS('[1]Исходные данные'!$I$2:$I$606,'[1]Исходные данные'!$D$2:$D$606,"Ақкетік",'[1]Исходные данные'!$F$2:$F$606,"13.1")</f>
        <v>0</v>
      </c>
      <c r="AU13" s="11">
        <f>SUMIFS('[1]Исходные данные'!$J$2:$J$606,'[1]Исходные данные'!$D$2:$D$606,"Ақкетік",'[1]Исходные данные'!$F$2:$F$606,"13.1")</f>
        <v>0</v>
      </c>
      <c r="AV13" s="11">
        <f>SUMIFS('[1]Исходные данные'!$I$2:$I$606,'[1]Исходные данные'!$D$2:$D$606,"Нейрон",'[1]Исходные данные'!$F$2:$F$606,"13.1")</f>
        <v>0</v>
      </c>
      <c r="AW13" s="11">
        <f>SUMIFS('[1]Исходные данные'!$J$2:$J$606,'[1]Исходные данные'!$D$2:$D$606,"Нейрон",'[1]Исходные данные'!$F$2:$F$606,"13.1")</f>
        <v>0</v>
      </c>
      <c r="AX13" s="11">
        <f>SUMIFS('[1]Исходные данные'!$I$2:$I$606,'[1]Исходные данные'!$D$2:$D$606,"Бурение",'[1]Исходные данные'!$F$2:$F$606,"13.1")</f>
        <v>1</v>
      </c>
      <c r="AY13" s="11">
        <f>SUMIFS('[1]Исходные данные'!$J$2:$J$606,'[1]Исходные данные'!$D$2:$D$606,"Бурение",'[1]Исходные данные'!$F$2:$F$606,"13.1")</f>
        <v>0</v>
      </c>
      <c r="AZ13" s="11">
        <f>SUMIFS('[1]Исходные данные'!$I$2:$I$606,'[1]Исходные данные'!$D$2:$D$606,"ЦТВС",'[1]Исходные данные'!$F$2:$F$606,"13.1")</f>
        <v>0</v>
      </c>
      <c r="BA13" s="11">
        <f>SUMIFS('[1]Исходные данные'!$J$2:$J$606,'[1]Исходные данные'!$D$2:$D$606,"ЦТВС",'[1]Исходные данные'!$F$2:$F$606,"13.1")</f>
        <v>0</v>
      </c>
      <c r="BB13" s="11">
        <f>SUMIFS('[1]Исходные данные'!$I$2:$I$606,'[1]Исходные данные'!$D$2:$D$606,"ТБ",'[1]Исходные данные'!$F$2:$F$606,"13.1")</f>
        <v>2</v>
      </c>
      <c r="BC13" s="11">
        <f>SUMIFS('[1]Исходные данные'!$J$2:$J$606,'[1]Исходные данные'!$D$2:$D$606,"ТБ",'[1]Исходные данные'!$F$2:$F$606,"13.1")</f>
        <v>0</v>
      </c>
      <c r="BD13" s="11">
        <f>SUMIFS('[1]Исходные данные'!$I$2:$I$606,'[1]Исходные данные'!$D$2:$D$606,"ОТДН",'[1]Исходные данные'!$F$2:$F$606,"13.1")</f>
        <v>0</v>
      </c>
      <c r="BE13" s="11">
        <f>SUMIFS('[1]Исходные данные'!$J$2:$J$606,'[1]Исходные данные'!$D$2:$D$606,"ОТДН",'[1]Исходные данные'!$F$2:$F$606,"13.1")</f>
        <v>0</v>
      </c>
      <c r="BF13" s="11">
        <f>SUMIFS('[1]Исходные данные'!$I$2:$I$606,'[1]Исходные данные'!$D$2:$D$606,"ПЧ-Семсер",'[1]Исходные данные'!$F$2:$F$606,"13.1")</f>
        <v>0</v>
      </c>
      <c r="BG13" s="11">
        <f>SUMIFS('[1]Исходные данные'!$J$2:$J$606,'[1]Исходные данные'!$D$2:$D$606,"ПЧ-Семсер",'[1]Исходные данные'!$F$2:$F$606,"13.1")</f>
        <v>0</v>
      </c>
      <c r="BH13" s="11">
        <f>SUMIFS('[1]Исходные данные'!$I$2:$I$606,'[1]Исходные данные'!$D$2:$D$606,"ПРЦЭО(2)",'[1]Исходные данные'!$F$2:$F$606,"13.1")</f>
        <v>0</v>
      </c>
      <c r="BI13" s="11">
        <f>SUMIFS('[1]Исходные данные'!$J$2:$J$606,'[1]Исходные данные'!$D$2:$D$606,"ПРЦЭО(2)",'[1]Исходные данные'!$F$2:$F$606,"13.1")</f>
        <v>0</v>
      </c>
      <c r="BJ13" s="11">
        <f>SUMIFS('[1]Исходные данные'!$I$2:$I$606,'[1]Исходные данные'!$D$2:$D$606,"БД",'[1]Исходные данные'!$F$2:$F$606,"13.1")</f>
        <v>3</v>
      </c>
      <c r="BK13" s="11">
        <f>SUMIFS('[1]Исходные данные'!$J$2:$J$606,'[1]Исходные данные'!$D$2:$D$606,"БД",'[1]Исходные данные'!$F$2:$F$606,"13.1")</f>
        <v>0</v>
      </c>
      <c r="BL13" s="11">
        <f>SUMIFS('[1]Исходные данные'!$I$2:$I$606,'[1]Исходные данные'!$D$2:$D$606,"ОГиР",'[1]Исходные данные'!$F$2:$F$606,"13.1")</f>
        <v>0</v>
      </c>
      <c r="BM13" s="11">
        <f>SUMIFS('[1]Исходные данные'!$J$2:$J$606,'[1]Исходные данные'!$D$2:$D$606,"ОГиР",'[1]Исходные данные'!$F$2:$F$606,"13.1")</f>
        <v>0</v>
      </c>
      <c r="BN13" s="11">
        <f>SUMIFS('[1]Исходные данные'!$I$2:$I$606,'[1]Исходные данные'!$D$2:$D$606,"ГСРиВК",'[1]Исходные данные'!$F$2:$F$606,"13.1")</f>
        <v>1</v>
      </c>
      <c r="BO13" s="11">
        <f>SUMIFS('[1]Исходные данные'!$J$2:$J$606,'[1]Исходные данные'!$D$2:$D$606,"ГСРиВК",'[1]Исходные данные'!$F$2:$F$606,"13.1")</f>
        <v>0</v>
      </c>
      <c r="BP13" s="11">
        <f>SUMIFS('[1]Исходные данные'!$I$2:$I$606,'[1]Исходные данные'!$D$2:$D$606,"МПГУ",'[1]Исходные данные'!$F$2:$F$606,"13.1")</f>
        <v>0</v>
      </c>
      <c r="BQ13" s="11">
        <f>SUMIFS('[1]Исходные данные'!$J$2:$J$606,'[1]Исходные данные'!$D$2:$D$606,"МПГУ",'[1]Исходные данные'!$F$2:$F$606,"13.1")</f>
        <v>0</v>
      </c>
      <c r="BR13" s="11">
        <f>SUMIFS('[1]Исходные данные'!$I$2:$I$606,'[1]Исходные данные'!$D$2:$D$606,"БПО 2",'[1]Исходные данные'!$F$2:$F$606,"13.1")</f>
        <v>0</v>
      </c>
      <c r="BS13" s="11">
        <f>SUMIFS('[1]Исходные данные'!$J$2:$J$606,'[1]Исходные данные'!$D$2:$D$606,"БПО 2",'[1]Исходные данные'!$F$2:$F$606,"13.1")</f>
        <v>0</v>
      </c>
      <c r="BT13" s="11">
        <f>SUMIFS('[1]Исходные данные'!$I$2:$I$606,'[1]Исходные данные'!$D$2:$D$606,"ЛД",'[1]Исходные данные'!$F$2:$F$606,"13.1")</f>
        <v>0</v>
      </c>
      <c r="BU13" s="11">
        <f>SUMIFS('[1]Исходные данные'!$J$2:$J$606,'[1]Исходные данные'!$D$2:$D$606,"ЛД",'[1]Исходные данные'!$F$2:$F$606,"13.1")</f>
        <v>0</v>
      </c>
      <c r="BV13" s="11">
        <f>SUMIFS('[1]Исходные данные'!$I$2:$I$606,'[1]Исходные данные'!$D$2:$D$606,"Отделкадр",'[1]Исходные данные'!$F$2:$F$606,"13.1")</f>
        <v>1</v>
      </c>
      <c r="BW13" s="11">
        <f>SUMIFS('[1]Исходные данные'!$J$2:$J$606,'[1]Исходные данные'!$D$2:$D$606,"Отделкадр",'[1]Исходные данные'!$F$2:$F$606,"13.1")</f>
        <v>0</v>
      </c>
      <c r="BX13" s="11">
        <f>SUMIFS('[1]Исходные данные'!$I$2:$I$606,'[1]Исходные данные'!$D$2:$D$606,"ЦИТС.",'[1]Исходные данные'!$F$2:$F$606,"13.1")</f>
        <v>0</v>
      </c>
      <c r="BY13" s="11">
        <f>SUMIFS('[1]Исходные данные'!$J$2:$J$606,'[1]Исходные данные'!$D$2:$D$606,"ЦИТС.",'[1]Исходные данные'!$F$2:$F$606,"13.1")</f>
        <v>0</v>
      </c>
      <c r="BZ13" s="11">
        <f>SUMIFS('[1]Исходные данные'!$I$2:$I$606,'[1]Исходные данные'!$D$2:$D$606,"ОБО",'[1]Исходные данные'!$F$2:$F$606,"13.1")</f>
        <v>2</v>
      </c>
      <c r="CA13" s="11">
        <f>SUMIFS('[1]Исходные данные'!$J$2:$J$606,'[1]Исходные данные'!$D$2:$D$606,"ОБО",'[1]Исходные данные'!$F$2:$F$606,"13.1")</f>
        <v>0</v>
      </c>
      <c r="CB13" s="11">
        <f>SUMIFS('[1]Исходные данные'!$I$2:$I$606,'[1]Исходные данные'!$D$2:$D$606,"УЖЭО",'[1]Исходные данные'!$F$2:$F$606,"13.1")</f>
        <v>2</v>
      </c>
      <c r="CC13" s="11">
        <f>SUMIFS('[1]Исходные данные'!$J$2:$J$606,'[1]Исходные данные'!$D$2:$D$606,"УЖЭО",'[1]Исходные данные'!$F$2:$F$606,"13.1")</f>
        <v>0</v>
      </c>
      <c r="CD13" s="11">
        <f>SUMIFS('[1]Исходные данные'!$I$2:$I$606,'[1]Исходные данные'!$D$2:$D$606,"Мухтар/Хамит",'[1]Исходные данные'!$F$2:$F$606,"13.1")</f>
        <v>0</v>
      </c>
      <c r="CE13" s="11">
        <f>SUMIFS('[1]Исходные данные'!$J$2:$J$606,'[1]Исходные данные'!$D$2:$D$606,"Мухтар/Хамит",'[1]Исходные данные'!$F$2:$F$606,"13.1")</f>
        <v>0</v>
      </c>
      <c r="CF13" s="11">
        <f>SUMIFS('[1]Исходные данные'!$I$2:$I$606,'[1]Исходные данные'!$D$2:$D$606,"ОБО-    СБ",'[1]Исходные данные'!$F$2:$F$606,"13.1")</f>
        <v>1</v>
      </c>
      <c r="CG13" s="11">
        <f>SUMIFS('[1]Исходные данные'!$J$2:$J$606,'[1]Исходные данные'!$D$2:$D$606,"ОБО-    СБ",'[1]Исходные данные'!$F$2:$F$606,"13.1")</f>
        <v>1</v>
      </c>
      <c r="CH13" s="11">
        <f>SUMIFS('[1]Исходные данные'!$I$2:$I$606,'[1]Исходные данные'!$D$2:$D$606,"РМУ 2",'[1]Исходные данные'!$F$2:$F$606,"13.1")</f>
        <v>0</v>
      </c>
      <c r="CI13" s="11">
        <f>SUMIFS('[1]Исходные данные'!$J$2:$J$606,'[1]Исходные данные'!$D$2:$D$606,"РМУ 2",'[1]Исходные данные'!$F$2:$F$606,"13.1")</f>
        <v>1</v>
      </c>
      <c r="CJ13" s="11">
        <f>SUMIFS('[1]Исходные данные'!$I$2:$I$606,'[1]Исходные данные'!$D$2:$D$606,"ГАПиИТ",'[1]Исходные данные'!$F$2:$F$606,"13.1")</f>
        <v>1</v>
      </c>
      <c r="CK13" s="11">
        <f>SUMIFS('[1]Исходные данные'!$J$2:$J$606,'[1]Исходные данные'!$D$2:$D$606,"ГАПиИТ",'[1]Исходные данные'!$F$2:$F$606,"13.1")</f>
        <v>0</v>
      </c>
      <c r="CL13" s="11">
        <f>SUMIFS('[1]Исходные данные'!$I$2:$I$606,'[1]Исходные данные'!$D$2:$D$606,"ОМ",'[1]Исходные данные'!$F$2:$F$606,"13.1")</f>
        <v>0</v>
      </c>
      <c r="CM13" s="11">
        <f>SUMIFS('[1]Исходные данные'!$J$2:$J$606,'[1]Исходные данные'!$D$2:$D$606,"ОМ",'[1]Исходные данные'!$F$2:$F$606,"13.1")</f>
        <v>0</v>
      </c>
      <c r="CN13" s="11">
        <f>SUMIFS('[1]Исходные данные'!$I$2:$I$606,'[1]Исходные данные'!$D$2:$D$606,"оппоIR",'[1]Исходные данные'!$F$2:$F$606,"13.1")</f>
        <v>0</v>
      </c>
      <c r="CO13" s="11">
        <f>SUMIFS('[1]Исходные данные'!$J$2:$J$606,'[1]Исходные данные'!$D$2:$D$606,"оппоIR",'[1]Исходные данные'!$F$2:$F$606,"13.1")</f>
        <v>0</v>
      </c>
      <c r="CP13" s="11">
        <f>SUMIFS('[1]Исходные данные'!$I$2:$I$606,'[1]Исходные данные'!$D$2:$D$606,"Маркшейдер",'[1]Исходные данные'!$F$2:$F$606,"13.1")</f>
        <v>1</v>
      </c>
      <c r="CQ13" s="11">
        <f>SUMIFS('[1]Исходные данные'!$J$2:$J$606,'[1]Исходные данные'!$D$2:$D$606,"Маркшейдер",'[1]Исходные данные'!$F$2:$F$606,"13.1")</f>
        <v>0</v>
      </c>
      <c r="CR13" s="11">
        <f>SUMIFS('[1]Исходные данные'!$I$2:$I$606,'[1]Исходные данные'!$D$2:$D$606,"ПСО",'[1]Исходные данные'!$F$2:$F$606,"13.1")</f>
        <v>0</v>
      </c>
      <c r="CS13" s="11">
        <f>SUMIFS('[1]Исходные данные'!$J$2:$J$606,'[1]Исходные данные'!$D$2:$D$606,"ПСО",'[1]Исходные данные'!$F$2:$F$606,"13.1")</f>
        <v>0</v>
      </c>
    </row>
    <row r="14" spans="1:97" x14ac:dyDescent="0.25">
      <c r="A14" s="13" t="s">
        <v>73</v>
      </c>
      <c r="B14" s="11" t="s">
        <v>74</v>
      </c>
      <c r="C14" s="10">
        <f t="shared" si="0"/>
        <v>5</v>
      </c>
      <c r="D14" s="10">
        <f t="shared" si="1"/>
        <v>5</v>
      </c>
      <c r="E14" s="10">
        <f t="shared" si="1"/>
        <v>0</v>
      </c>
      <c r="F14" s="11">
        <f>SUMIFS('[1]Исходные данные'!$I$2:$I$606,'[1]Исходные данные'!$D$2:$D$606,"ЦДН-1",'[1]Исходные данные'!$F$2:$F$606,"12")</f>
        <v>0</v>
      </c>
      <c r="G14" s="11">
        <f>SUMIFS('[1]Исходные данные'!$J$2:$J$606,'[1]Исходные данные'!$D$2:$D$606,"ЦДН-1",'[1]Исходные данные'!$F$2:$F$606,"12")</f>
        <v>0</v>
      </c>
      <c r="H14" s="11">
        <f>SUMIFS('[1]Исходные данные'!$I$2:$I$606,'[1]Исходные данные'!$D$2:$D$606,"ЦДН-2",'[1]Исходные данные'!$F$2:$F$606,"12")</f>
        <v>0</v>
      </c>
      <c r="I14" s="11">
        <f>SUMIFS('[1]Исходные данные'!$J$2:$J$606,'[1]Исходные данные'!$D$2:$D$606,"ЦДН-2",'[1]Исходные данные'!$F$2:$F$606,"12")</f>
        <v>0</v>
      </c>
      <c r="J14" s="11">
        <f>SUMIFS('[1]Исходные данные'!$I$2:$I$606,'[1]Исходные данные'!$D$2:$D$606,"ЦДН-3",'[1]Исходные данные'!$F$2:$F$606,"12")</f>
        <v>0</v>
      </c>
      <c r="K14" s="11">
        <f>SUMIFS('[1]Исходные данные'!$J$2:$J$606,'[1]Исходные данные'!$D$2:$D$606,"ЦДН-3",'[1]Исходные данные'!$F$2:$F$606,"12")</f>
        <v>0</v>
      </c>
      <c r="L14" s="11">
        <f>SUMIFS('[1]Исходные данные'!$I$2:$I$606,'[1]Исходные данные'!$D$2:$D$606,"ЦППН",'[1]Исходные данные'!$F$2:$F$606,"12")</f>
        <v>0</v>
      </c>
      <c r="M14" s="11">
        <f>SUMIFS('[1]Исходные данные'!$J$2:$J$606,'[1]Исходные данные'!$D$2:$D$606,"ЦППН",'[1]Исходные данные'!$F$2:$F$606,"12")</f>
        <v>0</v>
      </c>
      <c r="N14" s="11">
        <f>SUMIFS('[1]Исходные данные'!$I$2:$I$606,'[1]Исходные данные'!$D$2:$D$606,"ЦППД",'[1]Исходные данные'!$F$2:$F$606,"12")</f>
        <v>0</v>
      </c>
      <c r="O14" s="11">
        <f>SUMIFS('[1]Исходные данные'!$J$2:$J$606,'[1]Исходные данные'!$D$2:$D$606,"ЦППД",'[1]Исходные данные'!$F$2:$F$606,"12")</f>
        <v>0</v>
      </c>
      <c r="P14" s="11">
        <f>SUMIFS('[1]Исходные данные'!$I$2:$I$606,'[1]Исходные данные'!$D$2:$D$606,"ЭЦ",'[1]Исходные данные'!$F$2:$F$606,"12")</f>
        <v>0</v>
      </c>
      <c r="Q14" s="11">
        <f>SUMIFS('[1]Исходные данные'!$J$2:$J$606,'[1]Исходные данные'!$D$2:$D$606,"ЭЦ",'[1]Исходные данные'!$F$2:$F$606,"12")</f>
        <v>0</v>
      </c>
      <c r="R14" s="11">
        <f>SUMIFS('[1]Исходные данные'!$I$2:$I$606,'[1]Исходные данные'!$D$2:$D$606,"ОКС",'[1]Исходные данные'!$F$2:$F$606,"12")</f>
        <v>0</v>
      </c>
      <c r="S14" s="11">
        <f>SUMIFS('[1]Исходные данные'!$J$2:$J$606,'[1]Исходные данные'!$D$2:$D$606,"ОКС",'[1]Исходные данные'!$F$2:$F$606,"12")</f>
        <v>0</v>
      </c>
      <c r="T14" s="11">
        <f>SUMIFS('[1]Исходные данные'!$I$2:$I$606,'[1]Исходные данные'!$D$2:$D$606,"РСЦ",'[1]Исходные данные'!$F$2:$F$606,"12")</f>
        <v>0</v>
      </c>
      <c r="U14" s="11">
        <f>SUMIFS('[1]Исходные данные'!$J$2:$J$606,'[1]Исходные данные'!$D$2:$D$606,"РСЦ",'[1]Исходные данные'!$F$2:$F$606,"12")</f>
        <v>0</v>
      </c>
      <c r="V14" s="11">
        <f>SUMIFS('[1]Исходные данные'!$I$2:$I$606,'[1]Исходные данные'!$D$2:$D$606,"ЦИТС",'[1]Исходные данные'!$F$2:$F$606,"12")</f>
        <v>4</v>
      </c>
      <c r="W14" s="11">
        <f>SUMIFS('[1]Исходные данные'!$J$2:$J$606,'[1]Исходные данные'!$D$2:$D$606,"ЦИТС",'[1]Исходные данные'!$F$2:$F$606,"12")</f>
        <v>0</v>
      </c>
      <c r="X14" s="11">
        <f>SUMIFS('[1]Исходные данные'!$I$2:$I$606,'[1]Исходные данные'!$D$2:$D$606,"ПРЦЭО",'[1]Исходные данные'!$F$2:$F$606,"12")</f>
        <v>0</v>
      </c>
      <c r="Y14" s="11">
        <f>SUMIFS('[1]Исходные данные'!$J$2:$J$606,'[1]Исходные данные'!$D$2:$D$606,"ПРЦЭО",'[1]Исходные данные'!$F$2:$F$606,"12")</f>
        <v>0</v>
      </c>
      <c r="Z14" s="11">
        <f>SUMIFS('[1]Исходные данные'!$I$2:$I$606,'[1]Исходные данные'!$D$2:$D$606,"ГЦ",'[1]Исходные данные'!$F$2:$F$606,"12")</f>
        <v>0</v>
      </c>
      <c r="AA14" s="11">
        <f>SUMIFS('[1]Исходные данные'!$J$2:$J$606,'[1]Исходные данные'!$D$2:$D$606,"ГЦ",'[1]Исходные данные'!$F$2:$F$606,"12")</f>
        <v>0</v>
      </c>
      <c r="AB14" s="11">
        <f>SUMIFS('[1]Исходные данные'!$I$2:$I$606,'[1]Исходные данные'!$D$2:$D$606,"ЦПП",'[1]Исходные данные'!$F$2:$F$606,"12")</f>
        <v>0</v>
      </c>
      <c r="AC14" s="11">
        <f>SUMIFS('[1]Исходные данные'!$J$2:$J$606,'[1]Исходные данные'!$D$2:$D$606,"ЦПП",'[1]Исходные данные'!$F$2:$F$606,"12")</f>
        <v>0</v>
      </c>
      <c r="AD14" s="11">
        <f>SUMIFS('[1]Исходные данные'!$I$2:$I$606,'[1]Исходные данные'!$D$2:$D$606,"БМТС",'[1]Исходные данные'!$F$2:$F$606,"12")</f>
        <v>0</v>
      </c>
      <c r="AE14" s="11">
        <f>SUMIFS('[1]Исходные данные'!$J$2:$J$606,'[1]Исходные данные'!$D$2:$D$606,"БМТС",'[1]Исходные данные'!$F$2:$F$606,"12")</f>
        <v>0</v>
      </c>
      <c r="AF14" s="11">
        <f>SUMIFS('[1]Исходные данные'!$I$2:$I$606,'[1]Исходные данные'!$D$2:$D$606,"УБиПКРС-1",'[1]Исходные данные'!$F$2:$F$606,"12")</f>
        <v>1</v>
      </c>
      <c r="AG14" s="11">
        <f>SUMIFS('[1]Исходные данные'!$J$2:$J$606,'[1]Исходные данные'!$D$2:$D$606,"УБиПКРС-1",'[1]Исходные данные'!$F$2:$F$606,"12")</f>
        <v>0</v>
      </c>
      <c r="AH14" s="11">
        <f>SUMIFS('[1]Исходные данные'!$I$2:$I$606,'[1]Исходные данные'!$D$2:$D$606,"УБиПКРС-2",'[1]Исходные данные'!$F$2:$F$606,"12")</f>
        <v>0</v>
      </c>
      <c r="AI14" s="11">
        <f>SUMIFS('[1]Исходные данные'!$J$2:$J$606,'[1]Исходные данные'!$D$2:$D$606,"УБиПКРС-2",'[1]Исходные данные'!$F$2:$F$606,"12")</f>
        <v>0</v>
      </c>
      <c r="AJ14" s="11">
        <f>SUMIFS('[1]Исходные данные'!$I$2:$I$606,'[1]Исходные данные'!$D$2:$D$606,"ДТТ-1",'[1]Исходные данные'!$F$2:$F$606,"12")</f>
        <v>0</v>
      </c>
      <c r="AK14" s="11">
        <f>SUMIFS('[1]Исходные данные'!$J$2:$J$606,'[1]Исходные данные'!$D$2:$D$606,"ДТТ-1",'[1]Исходные данные'!$F$2:$F$606,"12")</f>
        <v>0</v>
      </c>
      <c r="AL14" s="11">
        <f>SUMIFS('[1]Исходные данные'!$I$2:$I$606,'[1]Исходные данные'!$D$2:$D$606,"ЦНИПР",'[1]Исходные данные'!$F$2:$F$606,"12")</f>
        <v>0</v>
      </c>
      <c r="AM14" s="11">
        <f>SUMIFS('[1]Исходные данные'!$J$2:$J$606,'[1]Исходные данные'!$D$2:$D$606,"ЦНИПР",'[1]Исходные данные'!$F$2:$F$606,"12")</f>
        <v>0</v>
      </c>
      <c r="AN14" s="11">
        <f>SUMIFS('[1]Исходные данные'!$I$2:$I$606,'[1]Исходные данные'!$D$2:$D$606,"ОБиПКРС",'[1]Исходные данные'!$F$2:$F$606,"12")</f>
        <v>0</v>
      </c>
      <c r="AO14" s="11">
        <f>SUMIFS('[1]Исходные данные'!$J$2:$J$606,'[1]Исходные данные'!$D$2:$D$606,"ОБиПКРС",'[1]Исходные данные'!$F$2:$F$606,"12")</f>
        <v>0</v>
      </c>
      <c r="AP14" s="11">
        <f>SUMIFS('[1]Исходные данные'!$I$2:$I$606,'[1]Исходные данные'!$D$2:$D$606,"ЦАП",'[1]Исходные данные'!$F$2:$F$606,"12")</f>
        <v>0</v>
      </c>
      <c r="AQ14" s="11">
        <f>SUMIFS('[1]Исходные данные'!$J$2:$J$606,'[1]Исходные данные'!$D$2:$D$606,"ЦАП",'[1]Исходные данные'!$F$2:$F$606,"12")</f>
        <v>0</v>
      </c>
      <c r="AR14" s="11">
        <f>SUMIFS('[1]Исходные данные'!$I$2:$I$606,'[1]Исходные данные'!$D$2:$D$606,"ГООС",'[1]Исходные данные'!$F$2:$F$606,"12")</f>
        <v>0</v>
      </c>
      <c r="AS14" s="11">
        <f>SUMIFS('[1]Исходные данные'!$J$2:$J$606,'[1]Исходные данные'!$D$2:$D$606,"ГООС",'[1]Исходные данные'!$F$2:$F$606,"12")</f>
        <v>0</v>
      </c>
      <c r="AT14" s="11">
        <f>SUMIFS('[1]Исходные данные'!$I$2:$I$606,'[1]Исходные данные'!$D$2:$D$606,"Ақкетік",'[1]Исходные данные'!$F$2:$F$606,"12")</f>
        <v>0</v>
      </c>
      <c r="AU14" s="11">
        <f>SUMIFS('[1]Исходные данные'!$J$2:$J$606,'[1]Исходные данные'!$D$2:$D$606,"Ақкетік",'[1]Исходные данные'!$F$2:$F$606,"12")</f>
        <v>0</v>
      </c>
      <c r="AV14" s="11">
        <f>SUMIFS('[1]Исходные данные'!$I$2:$I$606,'[1]Исходные данные'!$D$2:$D$606,"Нейрон",'[1]Исходные данные'!$F$2:$F$606,"12")</f>
        <v>0</v>
      </c>
      <c r="AW14" s="11">
        <f>SUMIFS('[1]Исходные данные'!$J$2:$J$606,'[1]Исходные данные'!$D$2:$D$606,"Нейрон",'[1]Исходные данные'!$F$2:$F$606,"12")</f>
        <v>0</v>
      </c>
      <c r="AX14" s="11">
        <f>SUMIFS('[1]Исходные данные'!$I$2:$I$606,'[1]Исходные данные'!$D$2:$D$606,"Бурение",'[1]Исходные данные'!$F$2:$F$606,"12")</f>
        <v>0</v>
      </c>
      <c r="AY14" s="11">
        <f>SUMIFS('[1]Исходные данные'!$J$2:$J$606,'[1]Исходные данные'!$D$2:$D$606,"Бурение",'[1]Исходные данные'!$F$2:$F$606,"12")</f>
        <v>0</v>
      </c>
      <c r="AZ14" s="11">
        <f>SUMIFS('[1]Исходные данные'!$I$2:$I$606,'[1]Исходные данные'!$D$2:$D$606,"ЦТВС",'[1]Исходные данные'!$F$2:$F$606,"12")</f>
        <v>0</v>
      </c>
      <c r="BA14" s="11">
        <f>SUMIFS('[1]Исходные данные'!$J$2:$J$606,'[1]Исходные данные'!$D$2:$D$606,"ЦТВС",'[1]Исходные данные'!$F$2:$F$606,"12")</f>
        <v>0</v>
      </c>
      <c r="BB14" s="11">
        <f>SUMIFS('[1]Исходные данные'!$I$2:$I$606,'[1]Исходные данные'!$D$2:$D$606,"ТБ",'[1]Исходные данные'!$F$2:$F$606,"12")</f>
        <v>0</v>
      </c>
      <c r="BC14" s="11">
        <f>SUMIFS('[1]Исходные данные'!$J$2:$J$606,'[1]Исходные данные'!$D$2:$D$606,"ТБ",'[1]Исходные данные'!$F$2:$F$606,"12")</f>
        <v>0</v>
      </c>
      <c r="BD14" s="11">
        <f>SUMIFS('[1]Исходные данные'!$I$2:$I$606,'[1]Исходные данные'!$D$2:$D$606,"ОТДН",'[1]Исходные данные'!$F$2:$F$606,"12")</f>
        <v>0</v>
      </c>
      <c r="BE14" s="11">
        <f>SUMIFS('[1]Исходные данные'!$J$2:$J$606,'[1]Исходные данные'!$D$2:$D$606,"ОТДН",'[1]Исходные данные'!$F$2:$F$606,"12")</f>
        <v>0</v>
      </c>
      <c r="BF14" s="11">
        <f>SUMIFS('[1]Исходные данные'!$I$2:$I$606,'[1]Исходные данные'!$D$2:$D$606,"ПЧ-Семсер",'[1]Исходные данные'!$F$2:$F$606,"12")</f>
        <v>0</v>
      </c>
      <c r="BG14" s="11">
        <f>SUMIFS('[1]Исходные данные'!$J$2:$J$606,'[1]Исходные данные'!$D$2:$D$606,"ПЧ-Семсер",'[1]Исходные данные'!$F$2:$F$606,"12")</f>
        <v>0</v>
      </c>
      <c r="BH14" s="11">
        <f>SUMIFS('[1]Исходные данные'!$I$2:$I$606,'[1]Исходные данные'!$D$2:$D$606,"ПРЦЭО(2)",'[1]Исходные данные'!$F$2:$F$606,"12")</f>
        <v>0</v>
      </c>
      <c r="BI14" s="11">
        <f>SUMIFS('[1]Исходные данные'!$J$2:$J$606,'[1]Исходные данные'!$D$2:$D$606,"ПРЦЭО(2)",'[1]Исходные данные'!$F$2:$F$606,"12")</f>
        <v>0</v>
      </c>
      <c r="BJ14" s="11">
        <f>SUMIFS('[1]Исходные данные'!$I$2:$I$606,'[1]Исходные данные'!$D$2:$D$606,"БД",'[1]Исходные данные'!$F$2:$F$606,"12")</f>
        <v>0</v>
      </c>
      <c r="BK14" s="11">
        <f>SUMIFS('[1]Исходные данные'!$J$2:$J$606,'[1]Исходные данные'!$D$2:$D$606,"БД",'[1]Исходные данные'!$F$2:$F$606,"12")</f>
        <v>0</v>
      </c>
      <c r="BL14" s="11">
        <f>SUMIFS('[1]Исходные данные'!$I$2:$I$606,'[1]Исходные данные'!$D$2:$D$606,"ОГиР",'[1]Исходные данные'!$F$2:$F$606,"12")</f>
        <v>0</v>
      </c>
      <c r="BM14" s="11">
        <f>SUMIFS('[1]Исходные данные'!$J$2:$J$606,'[1]Исходные данные'!$D$2:$D$606,"ОГиР",'[1]Исходные данные'!$F$2:$F$606,"12")</f>
        <v>0</v>
      </c>
      <c r="BN14" s="11">
        <f>SUMIFS('[1]Исходные данные'!$I$2:$I$606,'[1]Исходные данные'!$D$2:$D$606,"ГСРиВК",'[1]Исходные данные'!$F$2:$F$606,"12")</f>
        <v>0</v>
      </c>
      <c r="BO14" s="11">
        <f>SUMIFS('[1]Исходные данные'!$J$2:$J$606,'[1]Исходные данные'!$D$2:$D$606,"ГСРиВК",'[1]Исходные данные'!$F$2:$F$606,"12")</f>
        <v>0</v>
      </c>
      <c r="BP14" s="11">
        <f>SUMIFS('[1]Исходные данные'!$I$2:$I$606,'[1]Исходные данные'!$D$2:$D$606,"МПГУ",'[1]Исходные данные'!$F$2:$F$606,"12")</f>
        <v>0</v>
      </c>
      <c r="BQ14" s="11">
        <f>SUMIFS('[1]Исходные данные'!$J$2:$J$606,'[1]Исходные данные'!$D$2:$D$606,"МПГУ",'[1]Исходные данные'!$F$2:$F$606,"12")</f>
        <v>0</v>
      </c>
      <c r="BR14" s="11">
        <f>SUMIFS('[1]Исходные данные'!$I$2:$I$606,'[1]Исходные данные'!$D$2:$D$606,"БПО 2",'[1]Исходные данные'!$F$2:$F$606,"12")</f>
        <v>0</v>
      </c>
      <c r="BS14" s="11">
        <f>SUMIFS('[1]Исходные данные'!$J$2:$J$606,'[1]Исходные данные'!$D$2:$D$606,"БПО 2",'[1]Исходные данные'!$F$2:$F$606,"12")</f>
        <v>0</v>
      </c>
      <c r="BT14" s="11">
        <f>SUMIFS('[1]Исходные данные'!$I$2:$I$606,'[1]Исходные данные'!$D$2:$D$606,"ЛД",'[1]Исходные данные'!$F$2:$F$606,"12")</f>
        <v>0</v>
      </c>
      <c r="BU14" s="11">
        <f>SUMIFS('[1]Исходные данные'!$J$2:$J$606,'[1]Исходные данные'!$D$2:$D$606,"ЛД",'[1]Исходные данные'!$F$2:$F$606,"12")</f>
        <v>0</v>
      </c>
      <c r="BV14" s="11">
        <f>SUMIFS('[1]Исходные данные'!$I$2:$I$606,'[1]Исходные данные'!$D$2:$D$606,"Отделкадр",'[1]Исходные данные'!$F$2:$F$606,"12")</f>
        <v>0</v>
      </c>
      <c r="BW14" s="11">
        <f>SUMIFS('[1]Исходные данные'!$J$2:$J$606,'[1]Исходные данные'!$D$2:$D$606,"Отделкадр",'[1]Исходные данные'!$F$2:$F$606,"12")</f>
        <v>0</v>
      </c>
      <c r="BX14" s="11">
        <f>SUMIFS('[1]Исходные данные'!$I$2:$I$606,'[1]Исходные данные'!$D$2:$D$606,"ЦИТС.",'[1]Исходные данные'!$F$2:$F$606,"12")</f>
        <v>0</v>
      </c>
      <c r="BY14" s="11">
        <f>SUMIFS('[1]Исходные данные'!$J$2:$J$606,'[1]Исходные данные'!$D$2:$D$606,"ЦИТС.",'[1]Исходные данные'!$F$2:$F$606,"12")</f>
        <v>0</v>
      </c>
      <c r="BZ14" s="11">
        <f>SUMIFS('[1]Исходные данные'!$I$2:$I$606,'[1]Исходные данные'!$D$2:$D$606,"ОБО",'[1]Исходные данные'!$F$2:$F$606,"12")</f>
        <v>0</v>
      </c>
      <c r="CA14" s="11">
        <f>SUMIFS('[1]Исходные данные'!$J$2:$J$606,'[1]Исходные данные'!$D$2:$D$606,"ОБО",'[1]Исходные данные'!$F$2:$F$606,"12")</f>
        <v>0</v>
      </c>
      <c r="CB14" s="11">
        <f>SUMIFS('[1]Исходные данные'!$I$2:$I$606,'[1]Исходные данные'!$D$2:$D$606,"УЖЭО",'[1]Исходные данные'!$F$2:$F$606,"12")</f>
        <v>0</v>
      </c>
      <c r="CC14" s="11">
        <f>SUMIFS('[1]Исходные данные'!$J$2:$J$606,'[1]Исходные данные'!$D$2:$D$606,"УЖЭО",'[1]Исходные данные'!$F$2:$F$606,"12")</f>
        <v>0</v>
      </c>
      <c r="CD14" s="11">
        <f>SUMIFS('[1]Исходные данные'!$I$2:$I$606,'[1]Исходные данные'!$D$2:$D$606,"Мухтар/Хамит",'[1]Исходные данные'!$F$2:$F$606,"12")</f>
        <v>0</v>
      </c>
      <c r="CE14" s="11">
        <f>SUMIFS('[1]Исходные данные'!$J$2:$J$606,'[1]Исходные данные'!$D$2:$D$606,"Мухтар/Хамит",'[1]Исходные данные'!$F$2:$F$606,"12")</f>
        <v>0</v>
      </c>
      <c r="CF14" s="11">
        <f>SUMIFS('[1]Исходные данные'!$I$2:$I$606,'[1]Исходные данные'!$D$2:$D$606,"ОБО-    СБ",'[1]Исходные данные'!$F$2:$F$606,"12")</f>
        <v>0</v>
      </c>
      <c r="CG14" s="11">
        <f>SUMIFS('[1]Исходные данные'!$J$2:$J$606,'[1]Исходные данные'!$D$2:$D$606,"ОБО-    СБ",'[1]Исходные данные'!$F$2:$F$606,"12")</f>
        <v>0</v>
      </c>
      <c r="CH14" s="11">
        <f>SUMIFS('[1]Исходные данные'!$I$2:$I$606,'[1]Исходные данные'!$D$2:$D$606,"РМУ 2",'[1]Исходные данные'!$F$2:$F$606,"12")</f>
        <v>0</v>
      </c>
      <c r="CI14" s="11">
        <f>SUMIFS('[1]Исходные данные'!$J$2:$J$606,'[1]Исходные данные'!$D$2:$D$606,"РМУ 2",'[1]Исходные данные'!$F$2:$F$606,"12")</f>
        <v>0</v>
      </c>
      <c r="CJ14" s="11">
        <f>SUMIFS('[1]Исходные данные'!$I$2:$I$606,'[1]Исходные данные'!$D$2:$D$606,"ГАПиИТ",'[1]Исходные данные'!$F$2:$F$606,"12")</f>
        <v>0</v>
      </c>
      <c r="CK14" s="11">
        <f>SUMIFS('[1]Исходные данные'!$J$2:$J$606,'[1]Исходные данные'!$D$2:$D$606,"ГАПиИТ",'[1]Исходные данные'!$F$2:$F$606,"12")</f>
        <v>0</v>
      </c>
      <c r="CL14" s="11">
        <f>SUMIFS('[1]Исходные данные'!$I$2:$I$606,'[1]Исходные данные'!$D$2:$D$606,"ОМ",'[1]Исходные данные'!$F$2:$F$606,"12")</f>
        <v>0</v>
      </c>
      <c r="CM14" s="11">
        <f>SUMIFS('[1]Исходные данные'!$J$2:$J$606,'[1]Исходные данные'!$D$2:$D$606,"ОМ",'[1]Исходные данные'!$F$2:$F$606,"12")</f>
        <v>0</v>
      </c>
      <c r="CN14" s="11">
        <f>SUMIFS('[1]Исходные данные'!$I$2:$I$606,'[1]Исходные данные'!$D$2:$D$606,"оппоIR",'[1]Исходные данные'!$F$2:$F$606,"12")</f>
        <v>0</v>
      </c>
      <c r="CO14" s="11">
        <f>SUMIFS('[1]Исходные данные'!$J$2:$J$606,'[1]Исходные данные'!$D$2:$D$606,"оппоIR",'[1]Исходные данные'!$F$2:$F$606,"12")</f>
        <v>0</v>
      </c>
      <c r="CP14" s="11">
        <f>SUMIFS('[1]Исходные данные'!$I$2:$I$606,'[1]Исходные данные'!$D$2:$D$606,"Маркшейдер",'[1]Исходные данные'!$F$2:$F$606,"12")</f>
        <v>0</v>
      </c>
      <c r="CQ14" s="11">
        <f>SUMIFS('[1]Исходные данные'!$J$2:$J$606,'[1]Исходные данные'!$D$2:$D$606,"Маркшейдер",'[1]Исходные данные'!$F$2:$F$606,"12")</f>
        <v>0</v>
      </c>
      <c r="CR14" s="11">
        <f>SUMIFS('[1]Исходные данные'!$I$2:$I$606,'[1]Исходные данные'!$D$2:$D$606,"ПСО",'[1]Исходные данные'!$F$2:$F$606,"12")</f>
        <v>0</v>
      </c>
      <c r="CS14" s="11">
        <f>SUMIFS('[1]Исходные данные'!$J$2:$J$606,'[1]Исходные данные'!$D$2:$D$606,"ПСО",'[1]Исходные данные'!$F$2:$F$606,"12")</f>
        <v>0</v>
      </c>
    </row>
    <row r="15" spans="1:97" x14ac:dyDescent="0.25">
      <c r="A15" s="13" t="s">
        <v>75</v>
      </c>
      <c r="B15" s="11" t="s">
        <v>76</v>
      </c>
      <c r="C15" s="10">
        <f t="shared" si="0"/>
        <v>2</v>
      </c>
      <c r="D15" s="10">
        <f t="shared" si="1"/>
        <v>2</v>
      </c>
      <c r="E15" s="10">
        <f t="shared" si="1"/>
        <v>0</v>
      </c>
      <c r="F15" s="11">
        <f>SUMIFS('[1]Исходные данные'!$I$2:$I$606,'[1]Исходные данные'!$D$2:$D$606,"ЦДН-1",'[1]Исходные данные'!$F$2:$F$606,"12.1")</f>
        <v>0</v>
      </c>
      <c r="G15" s="11">
        <f>SUMIFS('[1]Исходные данные'!$J$2:$J$606,'[1]Исходные данные'!$D$2:$D$606,"ЦДН-1",'[1]Исходные данные'!$F$2:$F$606,"12.1")</f>
        <v>0</v>
      </c>
      <c r="H15" s="11">
        <f>SUMIFS('[1]Исходные данные'!$I$2:$I$606,'[1]Исходные данные'!$D$2:$D$606,"ЦДН-2",'[1]Исходные данные'!$F$2:$F$606,"12.1")</f>
        <v>0</v>
      </c>
      <c r="I15" s="11">
        <f>SUMIFS('[1]Исходные данные'!$J$2:$J$606,'[1]Исходные данные'!$D$2:$D$606,"ЦДН-2",'[1]Исходные данные'!$F$2:$F$606,"12.1")</f>
        <v>0</v>
      </c>
      <c r="J15" s="11">
        <f>SUMIFS('[1]Исходные данные'!$I$2:$I$606,'[1]Исходные данные'!$D$2:$D$606,"ЦДН-3",'[1]Исходные данные'!$F$2:$F$606,"12.1")</f>
        <v>0</v>
      </c>
      <c r="K15" s="11">
        <f>SUMIFS('[1]Исходные данные'!$J$2:$J$606,'[1]Исходные данные'!$D$2:$D$606,"ЦДН-3",'[1]Исходные данные'!$F$2:$F$606,"12.1")</f>
        <v>0</v>
      </c>
      <c r="L15" s="11">
        <f>SUMIFS('[1]Исходные данные'!$I$2:$I$606,'[1]Исходные данные'!$D$2:$D$606,"ЦППН",'[1]Исходные данные'!$F$2:$F$606,"12.1")</f>
        <v>0</v>
      </c>
      <c r="M15" s="11">
        <f>SUMIFS('[1]Исходные данные'!$J$2:$J$606,'[1]Исходные данные'!$D$2:$D$606,"ЦППН",'[1]Исходные данные'!$F$2:$F$606,"12.1")</f>
        <v>0</v>
      </c>
      <c r="N15" s="11">
        <f>SUMIFS('[1]Исходные данные'!$I$2:$I$606,'[1]Исходные данные'!$D$2:$D$606,"ЦППД",'[1]Исходные данные'!$F$2:$F$606,"12.1")</f>
        <v>0</v>
      </c>
      <c r="O15" s="11">
        <f>SUMIFS('[1]Исходные данные'!$J$2:$J$606,'[1]Исходные данные'!$D$2:$D$606,"ЦППД",'[1]Исходные данные'!$F$2:$F$606,"12.1")</f>
        <v>0</v>
      </c>
      <c r="P15" s="11">
        <f>SUMIFS('[1]Исходные данные'!$I$2:$I$606,'[1]Исходные данные'!$D$2:$D$606,"ЭЦ",'[1]Исходные данные'!$F$2:$F$606,"12.1")</f>
        <v>0</v>
      </c>
      <c r="Q15" s="11">
        <f>SUMIFS('[1]Исходные данные'!$J$2:$J$606,'[1]Исходные данные'!$D$2:$D$606,"ЭЦ",'[1]Исходные данные'!$F$2:$F$606,"12.1")</f>
        <v>0</v>
      </c>
      <c r="R15" s="11">
        <f>SUMIFS('[1]Исходные данные'!$I$2:$I$606,'[1]Исходные данные'!$D$2:$D$606,"ОКС",'[1]Исходные данные'!$F$2:$F$606,"12.1")</f>
        <v>0</v>
      </c>
      <c r="S15" s="11">
        <f>SUMIFS('[1]Исходные данные'!$J$2:$J$606,'[1]Исходные данные'!$D$2:$D$606,"ОКС",'[1]Исходные данные'!$F$2:$F$606,"12.1")</f>
        <v>0</v>
      </c>
      <c r="T15" s="11">
        <f>SUMIFS('[1]Исходные данные'!$I$2:$I$606,'[1]Исходные данные'!$D$2:$D$606,"РСЦ",'[1]Исходные данные'!$F$2:$F$606,"12.1")</f>
        <v>0</v>
      </c>
      <c r="U15" s="11">
        <f>SUMIFS('[1]Исходные данные'!$J$2:$J$606,'[1]Исходные данные'!$D$2:$D$606,"РСЦ",'[1]Исходные данные'!$F$2:$F$606,"12.1")</f>
        <v>0</v>
      </c>
      <c r="V15" s="11">
        <f>SUMIFS('[1]Исходные данные'!$I$2:$I$606,'[1]Исходные данные'!$D$2:$D$606,"ЦИТС",'[1]Исходные данные'!$F$2:$F$606,"12.1")</f>
        <v>0</v>
      </c>
      <c r="W15" s="11">
        <f>SUMIFS('[1]Исходные данные'!$J$2:$J$606,'[1]Исходные данные'!$D$2:$D$606,"ЦИТС",'[1]Исходные данные'!$F$2:$F$606,"12.1")</f>
        <v>0</v>
      </c>
      <c r="X15" s="11">
        <f>SUMIFS('[1]Исходные данные'!$I$2:$I$606,'[1]Исходные данные'!$D$2:$D$606,"ПРЦЭО",'[1]Исходные данные'!$F$2:$F$606,"12.1")</f>
        <v>0</v>
      </c>
      <c r="Y15" s="11">
        <f>SUMIFS('[1]Исходные данные'!$J$2:$J$606,'[1]Исходные данные'!$D$2:$D$606,"ПРЦЭО",'[1]Исходные данные'!$F$2:$F$606,"12.1")</f>
        <v>0</v>
      </c>
      <c r="Z15" s="11">
        <f>SUMIFS('[1]Исходные данные'!$I$2:$I$606,'[1]Исходные данные'!$D$2:$D$606,"ГЦ",'[1]Исходные данные'!$F$2:$F$606,"12.1")</f>
        <v>0</v>
      </c>
      <c r="AA15" s="11">
        <f>SUMIFS('[1]Исходные данные'!$J$2:$J$606,'[1]Исходные данные'!$D$2:$D$606,"ГЦ",'[1]Исходные данные'!$F$2:$F$606,"12.1")</f>
        <v>0</v>
      </c>
      <c r="AB15" s="11">
        <f>SUMIFS('[1]Исходные данные'!$I$2:$I$606,'[1]Исходные данные'!$D$2:$D$606,"ЦПП",'[1]Исходные данные'!$F$2:$F$606,"12.1")</f>
        <v>0</v>
      </c>
      <c r="AC15" s="11">
        <f>SUMIFS('[1]Исходные данные'!$J$2:$J$606,'[1]Исходные данные'!$D$2:$D$606,"ЦПП",'[1]Исходные данные'!$F$2:$F$606,"12.1")</f>
        <v>0</v>
      </c>
      <c r="AD15" s="11">
        <f>SUMIFS('[1]Исходные данные'!$I$2:$I$606,'[1]Исходные данные'!$D$2:$D$606,"БМТС",'[1]Исходные данные'!$F$2:$F$606,"12.1")</f>
        <v>0</v>
      </c>
      <c r="AE15" s="11">
        <f>SUMIFS('[1]Исходные данные'!$J$2:$J$606,'[1]Исходные данные'!$D$2:$D$606,"БМТС",'[1]Исходные данные'!$F$2:$F$606,"12.1")</f>
        <v>0</v>
      </c>
      <c r="AF15" s="11">
        <f>SUMIFS('[1]Исходные данные'!$I$2:$I$606,'[1]Исходные данные'!$D$2:$D$606,"УБиПКРС-1",'[1]Исходные данные'!$F$2:$F$606,"12.1")</f>
        <v>0</v>
      </c>
      <c r="AG15" s="11">
        <f>SUMIFS('[1]Исходные данные'!$J$2:$J$606,'[1]Исходные данные'!$D$2:$D$606,"УБиПКРС-1",'[1]Исходные данные'!$F$2:$F$606,"12.1")</f>
        <v>0</v>
      </c>
      <c r="AH15" s="11">
        <f>SUMIFS('[1]Исходные данные'!$I$2:$I$606,'[1]Исходные данные'!$D$2:$D$606,"УБиПКРС-2",'[1]Исходные данные'!$F$2:$F$606,"12.1")</f>
        <v>0</v>
      </c>
      <c r="AI15" s="11">
        <f>SUMIFS('[1]Исходные данные'!$J$2:$J$606,'[1]Исходные данные'!$D$2:$D$606,"УБиПКРС-2",'[1]Исходные данные'!$F$2:$F$606,"12.1")</f>
        <v>0</v>
      </c>
      <c r="AJ15" s="11">
        <f>SUMIFS('[1]Исходные данные'!$I$2:$I$606,'[1]Исходные данные'!$D$2:$D$606,"ДТТ-1",'[1]Исходные данные'!$F$2:$F$606,"12.1")</f>
        <v>2</v>
      </c>
      <c r="AK15" s="11">
        <f>SUMIFS('[1]Исходные данные'!$J$2:$J$606,'[1]Исходные данные'!$D$2:$D$606,"ДТТ-1",'[1]Исходные данные'!$F$2:$F$606,"12.1")</f>
        <v>0</v>
      </c>
      <c r="AL15" s="11">
        <f>SUMIFS('[1]Исходные данные'!$I$2:$I$606,'[1]Исходные данные'!$D$2:$D$606,"ЦНИПР",'[1]Исходные данные'!$F$2:$F$606,"12.1")</f>
        <v>0</v>
      </c>
      <c r="AM15" s="11">
        <f>SUMIFS('[1]Исходные данные'!$J$2:$J$606,'[1]Исходные данные'!$D$2:$D$606,"ЦНИПР",'[1]Исходные данные'!$F$2:$F$606,"12.1")</f>
        <v>0</v>
      </c>
      <c r="AN15" s="11">
        <f>SUMIFS('[1]Исходные данные'!$I$2:$I$606,'[1]Исходные данные'!$D$2:$D$606,"ОБиПКРС",'[1]Исходные данные'!$F$2:$F$606,"12.1")</f>
        <v>0</v>
      </c>
      <c r="AO15" s="11">
        <f>SUMIFS('[1]Исходные данные'!$J$2:$J$606,'[1]Исходные данные'!$D$2:$D$606,"ОБиПКРС",'[1]Исходные данные'!$F$2:$F$606,"12.1")</f>
        <v>0</v>
      </c>
      <c r="AP15" s="11">
        <f>SUMIFS('[1]Исходные данные'!$I$2:$I$606,'[1]Исходные данные'!$D$2:$D$606,"ЦАП",'[1]Исходные данные'!$F$2:$F$606,"12.1")</f>
        <v>0</v>
      </c>
      <c r="AQ15" s="11">
        <f>SUMIFS('[1]Исходные данные'!$J$2:$J$606,'[1]Исходные данные'!$D$2:$D$606,"ЦАП",'[1]Исходные данные'!$F$2:$F$606,"12.1")</f>
        <v>0</v>
      </c>
      <c r="AR15" s="11">
        <f>SUMIFS('[1]Исходные данные'!$I$2:$I$606,'[1]Исходные данные'!$D$2:$D$606,"ГООС",'[1]Исходные данные'!$F$2:$F$606,"12.1")</f>
        <v>0</v>
      </c>
      <c r="AS15" s="11">
        <f>SUMIFS('[1]Исходные данные'!$J$2:$J$606,'[1]Исходные данные'!$D$2:$D$606,"ГООС",'[1]Исходные данные'!$F$2:$F$606,"12.1")</f>
        <v>0</v>
      </c>
      <c r="AT15" s="11">
        <f>SUMIFS('[1]Исходные данные'!$I$2:$I$606,'[1]Исходные данные'!$D$2:$D$606,"Ақкетік",'[1]Исходные данные'!$F$2:$F$606,"12.1")</f>
        <v>0</v>
      </c>
      <c r="AU15" s="11">
        <f>SUMIFS('[1]Исходные данные'!$J$2:$J$606,'[1]Исходные данные'!$D$2:$D$606,"Ақкетік",'[1]Исходные данные'!$F$2:$F$606,"12.1")</f>
        <v>0</v>
      </c>
      <c r="AV15" s="11">
        <f>SUMIFS('[1]Исходные данные'!$I$2:$I$606,'[1]Исходные данные'!$D$2:$D$606,"Нейрон",'[1]Исходные данные'!$F$2:$F$606,"12.1")</f>
        <v>0</v>
      </c>
      <c r="AW15" s="11">
        <f>SUMIFS('[1]Исходные данные'!$J$2:$J$606,'[1]Исходные данные'!$D$2:$D$606,"Нейрон",'[1]Исходные данные'!$F$2:$F$606,"12.1")</f>
        <v>0</v>
      </c>
      <c r="AX15" s="11">
        <f>SUMIFS('[1]Исходные данные'!$I$2:$I$606,'[1]Исходные данные'!$D$2:$D$606,"Бурение",'[1]Исходные данные'!$F$2:$F$606,"12.1")</f>
        <v>0</v>
      </c>
      <c r="AY15" s="11">
        <f>SUMIFS('[1]Исходные данные'!$J$2:$J$606,'[1]Исходные данные'!$D$2:$D$606,"Бурение",'[1]Исходные данные'!$F$2:$F$606,"12.1")</f>
        <v>0</v>
      </c>
      <c r="AZ15" s="11">
        <f>SUMIFS('[1]Исходные данные'!$I$2:$I$606,'[1]Исходные данные'!$D$2:$D$606,"ЦТВС",'[1]Исходные данные'!$F$2:$F$606,"12.1")</f>
        <v>0</v>
      </c>
      <c r="BA15" s="11">
        <f>SUMIFS('[1]Исходные данные'!$J$2:$J$606,'[1]Исходные данные'!$D$2:$D$606,"ЦТВС",'[1]Исходные данные'!$F$2:$F$606,"12.1")</f>
        <v>0</v>
      </c>
      <c r="BB15" s="11">
        <f>SUMIFS('[1]Исходные данные'!$I$2:$I$606,'[1]Исходные данные'!$D$2:$D$606,"ТБ",'[1]Исходные данные'!$F$2:$F$606,"12.1")</f>
        <v>0</v>
      </c>
      <c r="BC15" s="11">
        <f>SUMIFS('[1]Исходные данные'!$J$2:$J$606,'[1]Исходные данные'!$D$2:$D$606,"ТБ",'[1]Исходные данные'!$F$2:$F$606,"12.1")</f>
        <v>0</v>
      </c>
      <c r="BD15" s="11">
        <f>SUMIFS('[1]Исходные данные'!$I$2:$I$606,'[1]Исходные данные'!$D$2:$D$606,"ОТДН",'[1]Исходные данные'!$F$2:$F$606,"12.1")</f>
        <v>0</v>
      </c>
      <c r="BE15" s="11">
        <f>SUMIFS('[1]Исходные данные'!$J$2:$J$606,'[1]Исходные данные'!$D$2:$D$606,"ОТДН",'[1]Исходные данные'!$F$2:$F$606,"12.1")</f>
        <v>0</v>
      </c>
      <c r="BF15" s="11">
        <f>SUMIFS('[1]Исходные данные'!$I$2:$I$606,'[1]Исходные данные'!$D$2:$D$606,"ПЧ-Семсер",'[1]Исходные данные'!$F$2:$F$606,"12.1")</f>
        <v>0</v>
      </c>
      <c r="BG15" s="11">
        <f>SUMIFS('[1]Исходные данные'!$J$2:$J$606,'[1]Исходные данные'!$D$2:$D$606,"ПЧ-Семсер",'[1]Исходные данные'!$F$2:$F$606,"12.1")</f>
        <v>0</v>
      </c>
      <c r="BH15" s="11">
        <f>SUMIFS('[1]Исходные данные'!$I$2:$I$606,'[1]Исходные данные'!$D$2:$D$606,"ПРЦЭО(2)",'[1]Исходные данные'!$F$2:$F$606,"12.1")</f>
        <v>0</v>
      </c>
      <c r="BI15" s="11">
        <f>SUMIFS('[1]Исходные данные'!$J$2:$J$606,'[1]Исходные данные'!$D$2:$D$606,"ПРЦЭО(2)",'[1]Исходные данные'!$F$2:$F$606,"12.1")</f>
        <v>0</v>
      </c>
      <c r="BJ15" s="11">
        <f>SUMIFS('[1]Исходные данные'!$I$2:$I$606,'[1]Исходные данные'!$D$2:$D$606,"БД",'[1]Исходные данные'!$F$2:$F$606,"12.1")</f>
        <v>0</v>
      </c>
      <c r="BK15" s="11">
        <f>SUMIFS('[1]Исходные данные'!$J$2:$J$606,'[1]Исходные данные'!$D$2:$D$606,"БД",'[1]Исходные данные'!$F$2:$F$606,"12.1")</f>
        <v>0</v>
      </c>
      <c r="BL15" s="11">
        <f>SUMIFS('[1]Исходные данные'!$I$2:$I$606,'[1]Исходные данные'!$D$2:$D$606,"ОГиР",'[1]Исходные данные'!$F$2:$F$606,"12.1")</f>
        <v>0</v>
      </c>
      <c r="BM15" s="11">
        <f>SUMIFS('[1]Исходные данные'!$J$2:$J$606,'[1]Исходные данные'!$D$2:$D$606,"ОГиР",'[1]Исходные данные'!$F$2:$F$606,"12.1")</f>
        <v>0</v>
      </c>
      <c r="BN15" s="11">
        <f>SUMIFS('[1]Исходные данные'!$I$2:$I$606,'[1]Исходные данные'!$D$2:$D$606,"ГСРиВК",'[1]Исходные данные'!$F$2:$F$606,"12.1")</f>
        <v>0</v>
      </c>
      <c r="BO15" s="11">
        <f>SUMIFS('[1]Исходные данные'!$J$2:$J$606,'[1]Исходные данные'!$D$2:$D$606,"ГСРиВК",'[1]Исходные данные'!$F$2:$F$606,"12.1")</f>
        <v>0</v>
      </c>
      <c r="BP15" s="11">
        <f>SUMIFS('[1]Исходные данные'!$I$2:$I$606,'[1]Исходные данные'!$D$2:$D$606,"МПГУ",'[1]Исходные данные'!$F$2:$F$606,"12.1")</f>
        <v>0</v>
      </c>
      <c r="BQ15" s="11">
        <f>SUMIFS('[1]Исходные данные'!$J$2:$J$606,'[1]Исходные данные'!$D$2:$D$606,"МПГУ",'[1]Исходные данные'!$F$2:$F$606,"12.1")</f>
        <v>0</v>
      </c>
      <c r="BR15" s="11">
        <f>SUMIFS('[1]Исходные данные'!$I$2:$I$606,'[1]Исходные данные'!$D$2:$D$606,"БПО 2",'[1]Исходные данные'!$F$2:$F$606,"12.1")</f>
        <v>0</v>
      </c>
      <c r="BS15" s="11">
        <f>SUMIFS('[1]Исходные данные'!$J$2:$J$606,'[1]Исходные данные'!$D$2:$D$606,"БПО 2",'[1]Исходные данные'!$F$2:$F$606,"12.1")</f>
        <v>0</v>
      </c>
      <c r="BT15" s="11">
        <f>SUMIFS('[1]Исходные данные'!$I$2:$I$606,'[1]Исходные данные'!$D$2:$D$606,"ЛД",'[1]Исходные данные'!$F$2:$F$606,"12.1")</f>
        <v>0</v>
      </c>
      <c r="BU15" s="11">
        <f>SUMIFS('[1]Исходные данные'!$J$2:$J$606,'[1]Исходные данные'!$D$2:$D$606,"ЛД",'[1]Исходные данные'!$F$2:$F$606,"12.1")</f>
        <v>0</v>
      </c>
      <c r="BV15" s="11">
        <f>SUMIFS('[1]Исходные данные'!$I$2:$I$606,'[1]Исходные данные'!$D$2:$D$606,"Отделкадр",'[1]Исходные данные'!$F$2:$F$606,"12.1")</f>
        <v>0</v>
      </c>
      <c r="BW15" s="11">
        <f>SUMIFS('[1]Исходные данные'!$J$2:$J$606,'[1]Исходные данные'!$D$2:$D$606,"Отделкадр",'[1]Исходные данные'!$F$2:$F$606,"12.1")</f>
        <v>0</v>
      </c>
      <c r="BX15" s="11">
        <f>SUMIFS('[1]Исходные данные'!$I$2:$I$606,'[1]Исходные данные'!$D$2:$D$606,"ЦИТС.",'[1]Исходные данные'!$F$2:$F$606,"12.1")</f>
        <v>0</v>
      </c>
      <c r="BY15" s="11">
        <f>SUMIFS('[1]Исходные данные'!$J$2:$J$606,'[1]Исходные данные'!$D$2:$D$606,"ЦИТС.",'[1]Исходные данные'!$F$2:$F$606,"12.1")</f>
        <v>0</v>
      </c>
      <c r="BZ15" s="11">
        <f>SUMIFS('[1]Исходные данные'!$I$2:$I$606,'[1]Исходные данные'!$D$2:$D$606,"ОБО",'[1]Исходные данные'!$F$2:$F$606,"12.1")</f>
        <v>0</v>
      </c>
      <c r="CA15" s="11">
        <f>SUMIFS('[1]Исходные данные'!$J$2:$J$606,'[1]Исходные данные'!$D$2:$D$606,"ОБО",'[1]Исходные данные'!$F$2:$F$606,"12.1")</f>
        <v>0</v>
      </c>
      <c r="CB15" s="11">
        <f>SUMIFS('[1]Исходные данные'!$I$2:$I$606,'[1]Исходные данные'!$D$2:$D$606,"УЖЭО",'[1]Исходные данные'!$F$2:$F$606,"12.1")</f>
        <v>0</v>
      </c>
      <c r="CC15" s="11">
        <f>SUMIFS('[1]Исходные данные'!$J$2:$J$606,'[1]Исходные данные'!$D$2:$D$606,"УЖЭО",'[1]Исходные данные'!$F$2:$F$606,"12.1")</f>
        <v>0</v>
      </c>
      <c r="CD15" s="11">
        <f>SUMIFS('[1]Исходные данные'!$I$2:$I$606,'[1]Исходные данные'!$D$2:$D$606,"Мухтар/Хамит",'[1]Исходные данные'!$F$2:$F$606,"12.1")</f>
        <v>0</v>
      </c>
      <c r="CE15" s="11">
        <f>SUMIFS('[1]Исходные данные'!$J$2:$J$606,'[1]Исходные данные'!$D$2:$D$606,"Мухтар/Хамит",'[1]Исходные данные'!$F$2:$F$606,"12.1")</f>
        <v>0</v>
      </c>
      <c r="CF15" s="11">
        <f>SUMIFS('[1]Исходные данные'!$I$2:$I$606,'[1]Исходные данные'!$D$2:$D$606,"ОБО-    СБ",'[1]Исходные данные'!$F$2:$F$606,"12.1")</f>
        <v>0</v>
      </c>
      <c r="CG15" s="11">
        <f>SUMIFS('[1]Исходные данные'!$J$2:$J$606,'[1]Исходные данные'!$D$2:$D$606,"ОБО-    СБ",'[1]Исходные данные'!$F$2:$F$606,"12.1")</f>
        <v>0</v>
      </c>
      <c r="CH15" s="11">
        <f>SUMIFS('[1]Исходные данные'!$I$2:$I$606,'[1]Исходные данные'!$D$2:$D$606,"РМУ 2",'[1]Исходные данные'!$F$2:$F$606,"12.1")</f>
        <v>0</v>
      </c>
      <c r="CI15" s="11">
        <f>SUMIFS('[1]Исходные данные'!$J$2:$J$606,'[1]Исходные данные'!$D$2:$D$606,"РМУ 2",'[1]Исходные данные'!$F$2:$F$606,"12.1")</f>
        <v>0</v>
      </c>
      <c r="CJ15" s="11">
        <f>SUMIFS('[1]Исходные данные'!$I$2:$I$606,'[1]Исходные данные'!$D$2:$D$606,"ГАПиИТ",'[1]Исходные данные'!$F$2:$F$606,"12.1")</f>
        <v>0</v>
      </c>
      <c r="CK15" s="11">
        <f>SUMIFS('[1]Исходные данные'!$J$2:$J$606,'[1]Исходные данные'!$D$2:$D$606,"ГАПиИТ",'[1]Исходные данные'!$F$2:$F$606,"12.1")</f>
        <v>0</v>
      </c>
      <c r="CL15" s="11">
        <f>SUMIFS('[1]Исходные данные'!$I$2:$I$606,'[1]Исходные данные'!$D$2:$D$606,"ОМ",'[1]Исходные данные'!$F$2:$F$606,"12.1")</f>
        <v>0</v>
      </c>
      <c r="CM15" s="11">
        <f>SUMIFS('[1]Исходные данные'!$J$2:$J$606,'[1]Исходные данные'!$D$2:$D$606,"ОМ",'[1]Исходные данные'!$F$2:$F$606,"12.1")</f>
        <v>0</v>
      </c>
      <c r="CN15" s="11">
        <f>SUMIFS('[1]Исходные данные'!$I$2:$I$606,'[1]Исходные данные'!$D$2:$D$606,"оппоIR",'[1]Исходные данные'!$F$2:$F$606,"12.1")</f>
        <v>0</v>
      </c>
      <c r="CO15" s="11">
        <f>SUMIFS('[1]Исходные данные'!$J$2:$J$606,'[1]Исходные данные'!$D$2:$D$606,"оппоIR",'[1]Исходные данные'!$F$2:$F$606,"12.1")</f>
        <v>0</v>
      </c>
      <c r="CP15" s="11">
        <f>SUMIFS('[1]Исходные данные'!$I$2:$I$606,'[1]Исходные данные'!$D$2:$D$606,"Маркшейдер",'[1]Исходные данные'!$F$2:$F$606,"12.1")</f>
        <v>0</v>
      </c>
      <c r="CQ15" s="11">
        <f>SUMIFS('[1]Исходные данные'!$J$2:$J$606,'[1]Исходные данные'!$D$2:$D$606,"Маркшейдер",'[1]Исходные данные'!$F$2:$F$606,"12.1")</f>
        <v>0</v>
      </c>
      <c r="CR15" s="11">
        <f>SUMIFS('[1]Исходные данные'!$I$2:$I$606,'[1]Исходные данные'!$D$2:$D$606,"ПСО",'[1]Исходные данные'!$F$2:$F$606,"12.1")</f>
        <v>0</v>
      </c>
      <c r="CS15" s="11">
        <f>SUMIFS('[1]Исходные данные'!$J$2:$J$606,'[1]Исходные данные'!$D$2:$D$606,"ПСО",'[1]Исходные данные'!$F$2:$F$606,"12.1")</f>
        <v>0</v>
      </c>
    </row>
    <row r="16" spans="1:97" x14ac:dyDescent="0.25">
      <c r="A16" s="13" t="s">
        <v>77</v>
      </c>
      <c r="B16" s="11" t="s">
        <v>78</v>
      </c>
      <c r="C16" s="10">
        <f t="shared" si="0"/>
        <v>55</v>
      </c>
      <c r="D16" s="10">
        <f t="shared" si="1"/>
        <v>54</v>
      </c>
      <c r="E16" s="10">
        <f t="shared" si="1"/>
        <v>1</v>
      </c>
      <c r="F16" s="11">
        <f>SUMIFS('[1]Исходные данные'!$I$2:$I$606,'[1]Исходные данные'!$D$2:$D$606,"ЦДН-1",'[1]Исходные данные'!$F$2:$F$606,"20")</f>
        <v>3</v>
      </c>
      <c r="G16" s="11">
        <f>SUMIFS('[1]Исходные данные'!$J$2:$J$606,'[1]Исходные данные'!$D$2:$D$606,"ЦДН-1",'[1]Исходные данные'!$F$2:$F$606,"20")</f>
        <v>0</v>
      </c>
      <c r="H16" s="11">
        <f>SUMIFS('[1]Исходные данные'!$I$2:$I$606,'[1]Исходные данные'!$D$2:$D$606,"ЦДН-2",'[1]Исходные данные'!$F$2:$F$606,"20")</f>
        <v>4</v>
      </c>
      <c r="I16" s="11">
        <f>SUMIFS('[1]Исходные данные'!$J$2:$J$606,'[1]Исходные данные'!$D$2:$D$606,"ЦДН-2",'[1]Исходные данные'!$F$2:$F$606,"20")</f>
        <v>0</v>
      </c>
      <c r="J16" s="11">
        <f>SUMIFS('[1]Исходные данные'!$I$2:$I$606,'[1]Исходные данные'!$D$2:$D$606,"ЦДН-3",'[1]Исходные данные'!$F$2:$F$606,"20")</f>
        <v>4</v>
      </c>
      <c r="K16" s="11">
        <f>SUMIFS('[1]Исходные данные'!$J$2:$J$606,'[1]Исходные данные'!$D$2:$D$606,"ЦДН-3",'[1]Исходные данные'!$F$2:$F$606,"20")</f>
        <v>0</v>
      </c>
      <c r="L16" s="11">
        <f>SUMIFS('[1]Исходные данные'!$I$2:$I$606,'[1]Исходные данные'!$D$2:$D$606,"ЦППН",'[1]Исходные данные'!$F$2:$F$606,"20")</f>
        <v>2</v>
      </c>
      <c r="M16" s="11">
        <f>SUMIFS('[1]Исходные данные'!$J$2:$J$606,'[1]Исходные данные'!$D$2:$D$606,"ЦППН",'[1]Исходные данные'!$F$2:$F$606,"20")</f>
        <v>0</v>
      </c>
      <c r="N16" s="11">
        <f>SUMIFS('[1]Исходные данные'!$I$2:$I$606,'[1]Исходные данные'!$D$2:$D$606,"ЦППД",'[1]Исходные данные'!$F$2:$F$606,"20")</f>
        <v>3</v>
      </c>
      <c r="O16" s="11">
        <f>SUMIFS('[1]Исходные данные'!$J$2:$J$606,'[1]Исходные данные'!$D$2:$D$606,"ЦППД",'[1]Исходные данные'!$F$2:$F$606,"20")</f>
        <v>0</v>
      </c>
      <c r="P16" s="11">
        <f>SUMIFS('[1]Исходные данные'!$I$2:$I$606,'[1]Исходные данные'!$D$2:$D$606,"ЭЦ",'[1]Исходные данные'!$F$2:$F$606,"20")</f>
        <v>3</v>
      </c>
      <c r="Q16" s="11">
        <f>SUMIFS('[1]Исходные данные'!$J$2:$J$606,'[1]Исходные данные'!$D$2:$D$606,"ЭЦ",'[1]Исходные данные'!$F$2:$F$606,"20")</f>
        <v>0</v>
      </c>
      <c r="R16" s="11">
        <f>SUMIFS('[1]Исходные данные'!$I$2:$I$606,'[1]Исходные данные'!$D$2:$D$606,"ОКС",'[1]Исходные данные'!$F$2:$F$606,"20")</f>
        <v>0</v>
      </c>
      <c r="S16" s="11">
        <f>SUMIFS('[1]Исходные данные'!$J$2:$J$606,'[1]Исходные данные'!$D$2:$D$606,"ОКС",'[1]Исходные данные'!$F$2:$F$606,"20")</f>
        <v>0</v>
      </c>
      <c r="T16" s="11">
        <f>SUMIFS('[1]Исходные данные'!$I$2:$I$606,'[1]Исходные данные'!$D$2:$D$606,"РСЦ",'[1]Исходные данные'!$F$2:$F$606,"20")</f>
        <v>2</v>
      </c>
      <c r="U16" s="11">
        <f>SUMIFS('[1]Исходные данные'!$J$2:$J$606,'[1]Исходные данные'!$D$2:$D$606,"РСЦ",'[1]Исходные данные'!$F$2:$F$606,"20")</f>
        <v>0</v>
      </c>
      <c r="V16" s="11">
        <f>SUMIFS('[1]Исходные данные'!$I$2:$I$606,'[1]Исходные данные'!$D$2:$D$606,"ЦИТС",'[1]Исходные данные'!$F$2:$F$606,"20")</f>
        <v>0</v>
      </c>
      <c r="W16" s="11">
        <f>SUMIFS('[1]Исходные данные'!$J$2:$J$606,'[1]Исходные данные'!$D$2:$D$606,"ЦИТС",'[1]Исходные данные'!$F$2:$F$606,"20")</f>
        <v>0</v>
      </c>
      <c r="X16" s="11">
        <f>SUMIFS('[1]Исходные данные'!$I$2:$I$606,'[1]Исходные данные'!$D$2:$D$606,"ПРЦЭО",'[1]Исходные данные'!$F$2:$F$606,"20")</f>
        <v>6</v>
      </c>
      <c r="Y16" s="11">
        <f>SUMIFS('[1]Исходные данные'!$J$2:$J$606,'[1]Исходные данные'!$D$2:$D$606,"ПРЦЭО",'[1]Исходные данные'!$F$2:$F$606,"20")</f>
        <v>0</v>
      </c>
      <c r="Z16" s="11">
        <f>SUMIFS('[1]Исходные данные'!$I$2:$I$606,'[1]Исходные данные'!$D$2:$D$606,"ГЦ",'[1]Исходные данные'!$F$2:$F$606,"20")</f>
        <v>1</v>
      </c>
      <c r="AA16" s="11">
        <f>SUMIFS('[1]Исходные данные'!$J$2:$J$606,'[1]Исходные данные'!$D$2:$D$606,"ГЦ",'[1]Исходные данные'!$F$2:$F$606,"20")</f>
        <v>0</v>
      </c>
      <c r="AB16" s="11">
        <f>SUMIFS('[1]Исходные данные'!$I$2:$I$606,'[1]Исходные данные'!$D$2:$D$606,"ЦПП",'[1]Исходные данные'!$F$2:$F$606,"20")</f>
        <v>3</v>
      </c>
      <c r="AC16" s="11">
        <f>SUMIFS('[1]Исходные данные'!$J$2:$J$606,'[1]Исходные данные'!$D$2:$D$606,"ЦПП",'[1]Исходные данные'!$F$2:$F$606,"20")</f>
        <v>0</v>
      </c>
      <c r="AD16" s="11">
        <f>SUMIFS('[1]Исходные данные'!$I$2:$I$606,'[1]Исходные данные'!$D$2:$D$606,"БМТС",'[1]Исходные данные'!$F$2:$F$606,"20")</f>
        <v>1</v>
      </c>
      <c r="AE16" s="11">
        <f>SUMIFS('[1]Исходные данные'!$J$2:$J$606,'[1]Исходные данные'!$D$2:$D$606,"БМТС",'[1]Исходные данные'!$F$2:$F$606,"20")</f>
        <v>0</v>
      </c>
      <c r="AF16" s="11">
        <f>SUMIFS('[1]Исходные данные'!$I$2:$I$606,'[1]Исходные данные'!$D$2:$D$606,"УБиПКРС-1",'[1]Исходные данные'!$F$2:$F$606,"20")</f>
        <v>6</v>
      </c>
      <c r="AG16" s="11">
        <f>SUMIFS('[1]Исходные данные'!$J$2:$J$606,'[1]Исходные данные'!$D$2:$D$606,"УБиПКРС-1",'[1]Исходные данные'!$F$2:$F$606,"20")</f>
        <v>0</v>
      </c>
      <c r="AH16" s="11">
        <f>SUMIFS('[1]Исходные данные'!$I$2:$I$606,'[1]Исходные данные'!$D$2:$D$606,"УБиПКРС-2",'[1]Исходные данные'!$F$2:$F$606,"20")</f>
        <v>1</v>
      </c>
      <c r="AI16" s="11">
        <f>SUMIFS('[1]Исходные данные'!$J$2:$J$606,'[1]Исходные данные'!$D$2:$D$606,"УБиПКРС-2",'[1]Исходные данные'!$F$2:$F$606,"20")</f>
        <v>0</v>
      </c>
      <c r="AJ16" s="11">
        <f>SUMIFS('[1]Исходные данные'!$I$2:$I$606,'[1]Исходные данные'!$D$2:$D$606,"ДТТ-1",'[1]Исходные данные'!$F$2:$F$606,"20")</f>
        <v>4</v>
      </c>
      <c r="AK16" s="11">
        <f>SUMIFS('[1]Исходные данные'!$J$2:$J$606,'[1]Исходные данные'!$D$2:$D$606,"ДТТ-1",'[1]Исходные данные'!$F$2:$F$606,"20")</f>
        <v>1</v>
      </c>
      <c r="AL16" s="11">
        <f>SUMIFS('[1]Исходные данные'!$I$2:$I$606,'[1]Исходные данные'!$D$2:$D$606,"ЦНИПР",'[1]Исходные данные'!$F$2:$F$606,"20")</f>
        <v>2</v>
      </c>
      <c r="AM16" s="11">
        <f>SUMIFS('[1]Исходные данные'!$J$2:$J$606,'[1]Исходные данные'!$D$2:$D$606,"ЦНИПР",'[1]Исходные данные'!$F$2:$F$606,"20")</f>
        <v>0</v>
      </c>
      <c r="AN16" s="11">
        <f>SUMIFS('[1]Исходные данные'!$I$2:$I$606,'[1]Исходные данные'!$D$2:$D$606,"ОБиПКРС",'[1]Исходные данные'!$F$2:$F$606,"20")</f>
        <v>0</v>
      </c>
      <c r="AO16" s="11">
        <f>SUMIFS('[1]Исходные данные'!$J$2:$J$606,'[1]Исходные данные'!$D$2:$D$606,"ОБиПКРС",'[1]Исходные данные'!$F$2:$F$606,"20")</f>
        <v>0</v>
      </c>
      <c r="AP16" s="11">
        <f>SUMIFS('[1]Исходные данные'!$I$2:$I$606,'[1]Исходные данные'!$D$2:$D$606,"ЦАП",'[1]Исходные данные'!$F$2:$F$606,"20")</f>
        <v>1</v>
      </c>
      <c r="AQ16" s="11">
        <f>SUMIFS('[1]Исходные данные'!$J$2:$J$606,'[1]Исходные данные'!$D$2:$D$606,"ЦАП",'[1]Исходные данные'!$F$2:$F$606,"20")</f>
        <v>0</v>
      </c>
      <c r="AR16" s="11">
        <f>SUMIFS('[1]Исходные данные'!$I$2:$I$606,'[1]Исходные данные'!$D$2:$D$606,"ГООС",'[1]Исходные данные'!$F$2:$F$606,"20")</f>
        <v>0</v>
      </c>
      <c r="AS16" s="11">
        <f>SUMIFS('[1]Исходные данные'!$J$2:$J$606,'[1]Исходные данные'!$D$2:$D$606,"ГООС",'[1]Исходные данные'!$F$2:$F$606,"20")</f>
        <v>0</v>
      </c>
      <c r="AT16" s="11">
        <f>SUMIFS('[1]Исходные данные'!$I$2:$I$606,'[1]Исходные данные'!$D$2:$D$606,"Ақкетік",'[1]Исходные данные'!$F$2:$F$606,"20")</f>
        <v>0</v>
      </c>
      <c r="AU16" s="11">
        <f>SUMIFS('[1]Исходные данные'!$J$2:$J$606,'[1]Исходные данные'!$D$2:$D$606,"Ақкетік",'[1]Исходные данные'!$F$2:$F$606,"20")</f>
        <v>0</v>
      </c>
      <c r="AV16" s="11">
        <f>SUMIFS('[1]Исходные данные'!$I$2:$I$606,'[1]Исходные данные'!$D$2:$D$606,"Нейрон",'[1]Исходные данные'!$F$2:$F$606,"20")</f>
        <v>0</v>
      </c>
      <c r="AW16" s="11">
        <f>SUMIFS('[1]Исходные данные'!$J$2:$J$606,'[1]Исходные данные'!$D$2:$D$606,"Нейрон",'[1]Исходные данные'!$F$2:$F$606,"20")</f>
        <v>0</v>
      </c>
      <c r="AX16" s="11">
        <f>SUMIFS('[1]Исходные данные'!$I$2:$I$606,'[1]Исходные данные'!$D$2:$D$606,"Бурение",'[1]Исходные данные'!$F$2:$F$606,"20")</f>
        <v>1</v>
      </c>
      <c r="AY16" s="11">
        <f>SUMIFS('[1]Исходные данные'!$J$2:$J$606,'[1]Исходные данные'!$D$2:$D$606,"Бурение",'[1]Исходные данные'!$F$2:$F$606,"20")</f>
        <v>0</v>
      </c>
      <c r="AZ16" s="11">
        <f>SUMIFS('[1]Исходные данные'!$I$2:$I$606,'[1]Исходные данные'!$D$2:$D$606,"ЦТВС",'[1]Исходные данные'!$F$2:$F$606,"20")</f>
        <v>0</v>
      </c>
      <c r="BA16" s="11">
        <f>SUMIFS('[1]Исходные данные'!$J$2:$J$606,'[1]Исходные данные'!$D$2:$D$606,"ЦТВС",'[1]Исходные данные'!$F$2:$F$606,"20")</f>
        <v>0</v>
      </c>
      <c r="BB16" s="11">
        <f>SUMIFS('[1]Исходные данные'!$I$2:$I$606,'[1]Исходные данные'!$D$2:$D$606,"ТБ",'[1]Исходные данные'!$F$2:$F$606,"20")</f>
        <v>0</v>
      </c>
      <c r="BC16" s="11">
        <f>SUMIFS('[1]Исходные данные'!$J$2:$J$606,'[1]Исходные данные'!$D$2:$D$606,"ТБ",'[1]Исходные данные'!$F$2:$F$606,"20")</f>
        <v>0</v>
      </c>
      <c r="BD16" s="11">
        <f>SUMIFS('[1]Исходные данные'!$I$2:$I$606,'[1]Исходные данные'!$D$2:$D$606,"ОТДН",'[1]Исходные данные'!$F$2:$F$606,"20")</f>
        <v>0</v>
      </c>
      <c r="BE16" s="11">
        <f>SUMIFS('[1]Исходные данные'!$J$2:$J$606,'[1]Исходные данные'!$D$2:$D$606,"ОТДН",'[1]Исходные данные'!$F$2:$F$606,"20")</f>
        <v>0</v>
      </c>
      <c r="BF16" s="11">
        <f>SUMIFS('[1]Исходные данные'!$I$2:$I$606,'[1]Исходные данные'!$D$2:$D$606,"ПЧ-Семсер",'[1]Исходные данные'!$F$2:$F$606,"20")</f>
        <v>0</v>
      </c>
      <c r="BG16" s="11">
        <f>SUMIFS('[1]Исходные данные'!$J$2:$J$606,'[1]Исходные данные'!$D$2:$D$606,"ПЧ-Семсер",'[1]Исходные данные'!$F$2:$F$606,"20")</f>
        <v>0</v>
      </c>
      <c r="BH16" s="11">
        <f>SUMIFS('[1]Исходные данные'!$I$2:$I$606,'[1]Исходные данные'!$D$2:$D$606,"ПРЦЭО(2)",'[1]Исходные данные'!$F$2:$F$606,"20")</f>
        <v>0</v>
      </c>
      <c r="BI16" s="11">
        <f>SUMIFS('[1]Исходные данные'!$J$2:$J$606,'[1]Исходные данные'!$D$2:$D$606,"ПРЦЭО(2)",'[1]Исходные данные'!$F$2:$F$606,"20")</f>
        <v>0</v>
      </c>
      <c r="BJ16" s="11">
        <f>SUMIFS('[1]Исходные данные'!$I$2:$I$606,'[1]Исходные данные'!$D$2:$D$606,"БД",'[1]Исходные данные'!$F$2:$F$606,"20")</f>
        <v>0</v>
      </c>
      <c r="BK16" s="11">
        <f>SUMIFS('[1]Исходные данные'!$J$2:$J$606,'[1]Исходные данные'!$D$2:$D$606,"БД",'[1]Исходные данные'!$F$2:$F$606,"20")</f>
        <v>0</v>
      </c>
      <c r="BL16" s="11">
        <f>SUMIFS('[1]Исходные данные'!$I$2:$I$606,'[1]Исходные данные'!$D$2:$D$606,"ОГиР",'[1]Исходные данные'!$F$2:$F$606,"20")</f>
        <v>1</v>
      </c>
      <c r="BM16" s="11">
        <f>SUMIFS('[1]Исходные данные'!$J$2:$J$606,'[1]Исходные данные'!$D$2:$D$606,"ОГиР",'[1]Исходные данные'!$F$2:$F$606,"20")</f>
        <v>0</v>
      </c>
      <c r="BN16" s="11">
        <f>SUMIFS('[1]Исходные данные'!$I$2:$I$606,'[1]Исходные данные'!$D$2:$D$606,"ГСРиВК",'[1]Исходные данные'!$F$2:$F$606,"20")</f>
        <v>0</v>
      </c>
      <c r="BO16" s="11">
        <f>SUMIFS('[1]Исходные данные'!$J$2:$J$606,'[1]Исходные данные'!$D$2:$D$606,"ГСРиВК",'[1]Исходные данные'!$F$2:$F$606,"20")</f>
        <v>0</v>
      </c>
      <c r="BP16" s="11">
        <f>SUMIFS('[1]Исходные данные'!$I$2:$I$606,'[1]Исходные данные'!$D$2:$D$606,"МПГУ",'[1]Исходные данные'!$F$2:$F$606,"20")</f>
        <v>3</v>
      </c>
      <c r="BQ16" s="11">
        <f>SUMIFS('[1]Исходные данные'!$J$2:$J$606,'[1]Исходные данные'!$D$2:$D$606,"МПГУ",'[1]Исходные данные'!$F$2:$F$606,"20")</f>
        <v>0</v>
      </c>
      <c r="BR16" s="11">
        <f>SUMIFS('[1]Исходные данные'!$I$2:$I$606,'[1]Исходные данные'!$D$2:$D$606,"БПО 2",'[1]Исходные данные'!$F$2:$F$606,"20")</f>
        <v>1</v>
      </c>
      <c r="BS16" s="11">
        <f>SUMIFS('[1]Исходные данные'!$J$2:$J$606,'[1]Исходные данные'!$D$2:$D$606,"БПО 2",'[1]Исходные данные'!$F$2:$F$606,"20")</f>
        <v>0</v>
      </c>
      <c r="BT16" s="11">
        <f>SUMIFS('[1]Исходные данные'!$I$2:$I$606,'[1]Исходные данные'!$D$2:$D$606,"ЛД",'[1]Исходные данные'!$F$2:$F$606,"20")</f>
        <v>0</v>
      </c>
      <c r="BU16" s="11">
        <f>SUMIFS('[1]Исходные данные'!$J$2:$J$606,'[1]Исходные данные'!$D$2:$D$606,"ЛД",'[1]Исходные данные'!$F$2:$F$606,"20")</f>
        <v>0</v>
      </c>
      <c r="BV16" s="11">
        <f>SUMIFS('[1]Исходные данные'!$I$2:$I$606,'[1]Исходные данные'!$D$2:$D$606,"Отделкадр",'[1]Исходные данные'!$F$2:$F$606,"20")</f>
        <v>1</v>
      </c>
      <c r="BW16" s="11">
        <f>SUMIFS('[1]Исходные данные'!$J$2:$J$606,'[1]Исходные данные'!$D$2:$D$606,"Отделкадр",'[1]Исходные данные'!$F$2:$F$606,"20")</f>
        <v>0</v>
      </c>
      <c r="BX16" s="11">
        <f>SUMIFS('[1]Исходные данные'!$I$2:$I$606,'[1]Исходные данные'!$D$2:$D$606,"ЦИТС.",'[1]Исходные данные'!$F$2:$F$606,"20")</f>
        <v>0</v>
      </c>
      <c r="BY16" s="11">
        <f>SUMIFS('[1]Исходные данные'!$J$2:$J$606,'[1]Исходные данные'!$D$2:$D$606,"ЦИТС.",'[1]Исходные данные'!$F$2:$F$606,"20")</f>
        <v>0</v>
      </c>
      <c r="BZ16" s="11">
        <f>SUMIFS('[1]Исходные данные'!$I$2:$I$606,'[1]Исходные данные'!$D$2:$D$606,"ОБО",'[1]Исходные данные'!$F$2:$F$606,"20")</f>
        <v>0</v>
      </c>
      <c r="CA16" s="11">
        <f>SUMIFS('[1]Исходные данные'!$J$2:$J$606,'[1]Исходные данные'!$D$2:$D$606,"ОБО",'[1]Исходные данные'!$F$2:$F$606,"20")</f>
        <v>0</v>
      </c>
      <c r="CB16" s="11">
        <f>SUMIFS('[1]Исходные данные'!$I$2:$I$606,'[1]Исходные данные'!$D$2:$D$606,"УЖЭО",'[1]Исходные данные'!$F$2:$F$606,"20")</f>
        <v>0</v>
      </c>
      <c r="CC16" s="11">
        <f>SUMIFS('[1]Исходные данные'!$J$2:$J$606,'[1]Исходные данные'!$D$2:$D$606,"УЖЭО",'[1]Исходные данные'!$F$2:$F$606,"20")</f>
        <v>0</v>
      </c>
      <c r="CD16" s="11">
        <f>SUMIFS('[1]Исходные данные'!$I$2:$I$606,'[1]Исходные данные'!$D$2:$D$606,"Мухтар/Хамит",'[1]Исходные данные'!$F$2:$F$606,"20")</f>
        <v>0</v>
      </c>
      <c r="CE16" s="11">
        <f>SUMIFS('[1]Исходные данные'!$J$2:$J$606,'[1]Исходные данные'!$D$2:$D$606,"Мухтар/Хамит",'[1]Исходные данные'!$F$2:$F$606,"20")</f>
        <v>0</v>
      </c>
      <c r="CF16" s="11">
        <f>SUMIFS('[1]Исходные данные'!$I$2:$I$606,'[1]Исходные данные'!$D$2:$D$606,"ОБО-    СБ",'[1]Исходные данные'!$F$2:$F$606,"20")</f>
        <v>0</v>
      </c>
      <c r="CG16" s="11">
        <f>SUMIFS('[1]Исходные данные'!$J$2:$J$606,'[1]Исходные данные'!$D$2:$D$606,"ОБО-    СБ",'[1]Исходные данные'!$F$2:$F$606,"20")</f>
        <v>0</v>
      </c>
      <c r="CH16" s="11">
        <f>SUMIFS('[1]Исходные данные'!$I$2:$I$606,'[1]Исходные данные'!$D$2:$D$606,"РМУ 2",'[1]Исходные данные'!$F$2:$F$606,"20")</f>
        <v>1</v>
      </c>
      <c r="CI16" s="11">
        <f>SUMIFS('[1]Исходные данные'!$J$2:$J$606,'[1]Исходные данные'!$D$2:$D$606,"РМУ 2",'[1]Исходные данные'!$F$2:$F$606,"20")</f>
        <v>0</v>
      </c>
      <c r="CJ16" s="11">
        <f>SUMIFS('[1]Исходные данные'!$I$2:$I$606,'[1]Исходные данные'!$D$2:$D$606,"ГАПиИТ",'[1]Исходные данные'!$F$2:$F$606,"20")</f>
        <v>0</v>
      </c>
      <c r="CK16" s="11">
        <f>SUMIFS('[1]Исходные данные'!$J$2:$J$606,'[1]Исходные данные'!$D$2:$D$606,"ГАПиИТ",'[1]Исходные данные'!$F$2:$F$606,"20")</f>
        <v>0</v>
      </c>
      <c r="CL16" s="11">
        <f>SUMIFS('[1]Исходные данные'!$I$2:$I$606,'[1]Исходные данные'!$D$2:$D$606,"ОМ",'[1]Исходные данные'!$F$2:$F$606,"20")</f>
        <v>0</v>
      </c>
      <c r="CM16" s="11">
        <f>SUMIFS('[1]Исходные данные'!$J$2:$J$606,'[1]Исходные данные'!$D$2:$D$606,"ОМ",'[1]Исходные данные'!$F$2:$F$606,"20")</f>
        <v>0</v>
      </c>
      <c r="CN16" s="11">
        <f>SUMIFS('[1]Исходные данные'!$I$2:$I$606,'[1]Исходные данные'!$D$2:$D$606,"оппоIR",'[1]Исходные данные'!$F$2:$F$606,"20")</f>
        <v>0</v>
      </c>
      <c r="CO16" s="11">
        <f>SUMIFS('[1]Исходные данные'!$J$2:$J$606,'[1]Исходные данные'!$D$2:$D$606,"оппоIR",'[1]Исходные данные'!$F$2:$F$606,"20")</f>
        <v>0</v>
      </c>
      <c r="CP16" s="11">
        <f>SUMIFS('[1]Исходные данные'!$I$2:$I$606,'[1]Исходные данные'!$D$2:$D$606,"Маркшейдер",'[1]Исходные данные'!$F$2:$F$606,"20")</f>
        <v>0</v>
      </c>
      <c r="CQ16" s="11">
        <f>SUMIFS('[1]Исходные данные'!$J$2:$J$606,'[1]Исходные данные'!$D$2:$D$606,"Маркшейдер",'[1]Исходные данные'!$F$2:$F$606,"20")</f>
        <v>0</v>
      </c>
      <c r="CR16" s="11">
        <f>SUMIFS('[1]Исходные данные'!$I$2:$I$606,'[1]Исходные данные'!$D$2:$D$606,"ПСО",'[1]Исходные данные'!$F$2:$F$606,"20")</f>
        <v>0</v>
      </c>
      <c r="CS16" s="11">
        <f>SUMIFS('[1]Исходные данные'!$J$2:$J$606,'[1]Исходные данные'!$D$2:$D$606,"ПСО",'[1]Исходные данные'!$F$2:$F$606,"20")</f>
        <v>0</v>
      </c>
    </row>
    <row r="17" spans="1:97" x14ac:dyDescent="0.25">
      <c r="A17" s="13" t="s">
        <v>79</v>
      </c>
      <c r="B17" s="11" t="s">
        <v>80</v>
      </c>
      <c r="C17" s="10">
        <f t="shared" si="0"/>
        <v>32</v>
      </c>
      <c r="D17" s="10">
        <f t="shared" si="1"/>
        <v>29</v>
      </c>
      <c r="E17" s="10">
        <f t="shared" si="1"/>
        <v>3</v>
      </c>
      <c r="F17" s="11">
        <f>SUMIFS('[1]Исходные данные'!$I$2:$I$606,'[1]Исходные данные'!$D$2:$D$606,"ЦДН-1",'[1]Исходные данные'!$F$2:$F$606,"21")</f>
        <v>0</v>
      </c>
      <c r="G17" s="11">
        <f>SUMIFS('[1]Исходные данные'!$J$2:$J$606,'[1]Исходные данные'!$D$2:$D$606,"ЦДН-1",'[1]Исходные данные'!$F$2:$F$606,"21")</f>
        <v>0</v>
      </c>
      <c r="H17" s="11">
        <f>SUMIFS('[1]Исходные данные'!$I$2:$I$606,'[1]Исходные данные'!$D$2:$D$606,"ЦДН-2",'[1]Исходные данные'!$F$2:$F$606,"21")</f>
        <v>0</v>
      </c>
      <c r="I17" s="11">
        <f>SUMIFS('[1]Исходные данные'!$J$2:$J$606,'[1]Исходные данные'!$D$2:$D$606,"ЦДН-2",'[1]Исходные данные'!$F$2:$F$606,"21")</f>
        <v>0</v>
      </c>
      <c r="J17" s="11">
        <f>SUMIFS('[1]Исходные данные'!$I$2:$I$606,'[1]Исходные данные'!$D$2:$D$606,"ЦДН-3",'[1]Исходные данные'!$F$2:$F$606,"21")</f>
        <v>0</v>
      </c>
      <c r="K17" s="11">
        <f>SUMIFS('[1]Исходные данные'!$J$2:$J$606,'[1]Исходные данные'!$D$2:$D$606,"ЦДН-3",'[1]Исходные данные'!$F$2:$F$606,"21")</f>
        <v>0</v>
      </c>
      <c r="L17" s="11">
        <f>SUMIFS('[1]Исходные данные'!$I$2:$I$606,'[1]Исходные данные'!$D$2:$D$606,"ЦППН",'[1]Исходные данные'!$F$2:$F$606,"21")</f>
        <v>0</v>
      </c>
      <c r="M17" s="11">
        <f>SUMIFS('[1]Исходные данные'!$J$2:$J$606,'[1]Исходные данные'!$D$2:$D$606,"ЦППН",'[1]Исходные данные'!$F$2:$F$606,"21")</f>
        <v>0</v>
      </c>
      <c r="N17" s="11">
        <f>SUMIFS('[1]Исходные данные'!$I$2:$I$606,'[1]Исходные данные'!$D$2:$D$606,"ЦППД",'[1]Исходные данные'!$F$2:$F$606,"21")</f>
        <v>0</v>
      </c>
      <c r="O17" s="11">
        <f>SUMIFS('[1]Исходные данные'!$J$2:$J$606,'[1]Исходные данные'!$D$2:$D$606,"ЦППД",'[1]Исходные данные'!$F$2:$F$606,"21")</f>
        <v>0</v>
      </c>
      <c r="P17" s="11">
        <f>SUMIFS('[1]Исходные данные'!$I$2:$I$606,'[1]Исходные данные'!$D$2:$D$606,"ЭЦ",'[1]Исходные данные'!$F$2:$F$606,"21")</f>
        <v>0</v>
      </c>
      <c r="Q17" s="11">
        <f>SUMIFS('[1]Исходные данные'!$J$2:$J$606,'[1]Исходные данные'!$D$2:$D$606,"ЭЦ",'[1]Исходные данные'!$F$2:$F$606,"21")</f>
        <v>0</v>
      </c>
      <c r="R17" s="11">
        <f>SUMIFS('[1]Исходные данные'!$I$2:$I$606,'[1]Исходные данные'!$D$2:$D$606,"ОКС",'[1]Исходные данные'!$F$2:$F$606,"21")</f>
        <v>0</v>
      </c>
      <c r="S17" s="11">
        <f>SUMIFS('[1]Исходные данные'!$J$2:$J$606,'[1]Исходные данные'!$D$2:$D$606,"ОКС",'[1]Исходные данные'!$F$2:$F$606,"21")</f>
        <v>0</v>
      </c>
      <c r="T17" s="11">
        <f>SUMIFS('[1]Исходные данные'!$I$2:$I$606,'[1]Исходные данные'!$D$2:$D$606,"РСЦ",'[1]Исходные данные'!$F$2:$F$606,"21")</f>
        <v>0</v>
      </c>
      <c r="U17" s="11">
        <f>SUMIFS('[1]Исходные данные'!$J$2:$J$606,'[1]Исходные данные'!$D$2:$D$606,"РСЦ",'[1]Исходные данные'!$F$2:$F$606,"21")</f>
        <v>0</v>
      </c>
      <c r="V17" s="11">
        <f>SUMIFS('[1]Исходные данные'!$I$2:$I$606,'[1]Исходные данные'!$D$2:$D$606,"ЦИТС",'[1]Исходные данные'!$F$2:$F$606,"21")</f>
        <v>0</v>
      </c>
      <c r="W17" s="11">
        <f>SUMIFS('[1]Исходные данные'!$J$2:$J$606,'[1]Исходные данные'!$D$2:$D$606,"ЦИТС",'[1]Исходные данные'!$F$2:$F$606,"21")</f>
        <v>0</v>
      </c>
      <c r="X17" s="11">
        <f>SUMIFS('[1]Исходные данные'!$I$2:$I$606,'[1]Исходные данные'!$D$2:$D$606,"ПРЦЭО",'[1]Исходные данные'!$F$2:$F$606,"21")</f>
        <v>24</v>
      </c>
      <c r="Y17" s="11">
        <f>SUMIFS('[1]Исходные данные'!$J$2:$J$606,'[1]Исходные данные'!$D$2:$D$606,"ПРЦЭО",'[1]Исходные данные'!$F$2:$F$606,"21")</f>
        <v>2</v>
      </c>
      <c r="Z17" s="11">
        <f>SUMIFS('[1]Исходные данные'!$I$2:$I$606,'[1]Исходные данные'!$D$2:$D$606,"ГЦ",'[1]Исходные данные'!$F$2:$F$606,"21")</f>
        <v>0</v>
      </c>
      <c r="AA17" s="11">
        <f>SUMIFS('[1]Исходные данные'!$J$2:$J$606,'[1]Исходные данные'!$D$2:$D$606,"ГЦ",'[1]Исходные данные'!$F$2:$F$606,"21")</f>
        <v>0</v>
      </c>
      <c r="AB17" s="11">
        <f>SUMIFS('[1]Исходные данные'!$I$2:$I$606,'[1]Исходные данные'!$D$2:$D$606,"ЦПП",'[1]Исходные данные'!$F$2:$F$606,"21")</f>
        <v>0</v>
      </c>
      <c r="AC17" s="11">
        <f>SUMIFS('[1]Исходные данные'!$J$2:$J$606,'[1]Исходные данные'!$D$2:$D$606,"ЦПП",'[1]Исходные данные'!$F$2:$F$606,"21")</f>
        <v>0</v>
      </c>
      <c r="AD17" s="11">
        <f>SUMIFS('[1]Исходные данные'!$I$2:$I$606,'[1]Исходные данные'!$D$2:$D$606,"БМТС",'[1]Исходные данные'!$F$2:$F$606,"21")</f>
        <v>0</v>
      </c>
      <c r="AE17" s="11">
        <f>SUMIFS('[1]Исходные данные'!$J$2:$J$606,'[1]Исходные данные'!$D$2:$D$606,"БМТС",'[1]Исходные данные'!$F$2:$F$606,"21")</f>
        <v>0</v>
      </c>
      <c r="AF17" s="11">
        <f>SUMIFS('[1]Исходные данные'!$I$2:$I$606,'[1]Исходные данные'!$D$2:$D$606,"УБиПКРС-1",'[1]Исходные данные'!$F$2:$F$606,"21")</f>
        <v>0</v>
      </c>
      <c r="AG17" s="11">
        <f>SUMIFS('[1]Исходные данные'!$J$2:$J$606,'[1]Исходные данные'!$D$2:$D$606,"УБиПКРС-1",'[1]Исходные данные'!$F$2:$F$606,"21")</f>
        <v>0</v>
      </c>
      <c r="AH17" s="11">
        <f>SUMIFS('[1]Исходные данные'!$I$2:$I$606,'[1]Исходные данные'!$D$2:$D$606,"УБиПКРС-2",'[1]Исходные данные'!$F$2:$F$606,"21")</f>
        <v>0</v>
      </c>
      <c r="AI17" s="11">
        <f>SUMIFS('[1]Исходные данные'!$J$2:$J$606,'[1]Исходные данные'!$D$2:$D$606,"УБиПКРС-2",'[1]Исходные данные'!$F$2:$F$606,"21")</f>
        <v>0</v>
      </c>
      <c r="AJ17" s="11">
        <f>SUMIFS('[1]Исходные данные'!$I$2:$I$606,'[1]Исходные данные'!$D$2:$D$606,"ДТТ-1",'[1]Исходные данные'!$F$2:$F$606,"21")</f>
        <v>1</v>
      </c>
      <c r="AK17" s="11">
        <f>SUMIFS('[1]Исходные данные'!$J$2:$J$606,'[1]Исходные данные'!$D$2:$D$606,"ДТТ-1",'[1]Исходные данные'!$F$2:$F$606,"21")</f>
        <v>1</v>
      </c>
      <c r="AL17" s="11">
        <f>SUMIFS('[1]Исходные данные'!$I$2:$I$606,'[1]Исходные данные'!$D$2:$D$606,"ЦНИПР",'[1]Исходные данные'!$F$2:$F$606,"21")</f>
        <v>0</v>
      </c>
      <c r="AM17" s="11">
        <f>SUMIFS('[1]Исходные данные'!$J$2:$J$606,'[1]Исходные данные'!$D$2:$D$606,"ЦНИПР",'[1]Исходные данные'!$F$2:$F$606,"21")</f>
        <v>0</v>
      </c>
      <c r="AN17" s="11">
        <f>SUMIFS('[1]Исходные данные'!$I$2:$I$606,'[1]Исходные данные'!$D$2:$D$606,"ОБиПКРС",'[1]Исходные данные'!$F$2:$F$606,"21")</f>
        <v>0</v>
      </c>
      <c r="AO17" s="11">
        <f>SUMIFS('[1]Исходные данные'!$J$2:$J$606,'[1]Исходные данные'!$D$2:$D$606,"ОБиПКРС",'[1]Исходные данные'!$F$2:$F$606,"21")</f>
        <v>0</v>
      </c>
      <c r="AP17" s="11">
        <f>SUMIFS('[1]Исходные данные'!$I$2:$I$606,'[1]Исходные данные'!$D$2:$D$606,"ЦАП",'[1]Исходные данные'!$F$2:$F$606,"21")</f>
        <v>0</v>
      </c>
      <c r="AQ17" s="11">
        <f>SUMIFS('[1]Исходные данные'!$J$2:$J$606,'[1]Исходные данные'!$D$2:$D$606,"ЦАП",'[1]Исходные данные'!$F$2:$F$606,"21")</f>
        <v>0</v>
      </c>
      <c r="AR17" s="11">
        <f>SUMIFS('[1]Исходные данные'!$I$2:$I$606,'[1]Исходные данные'!$D$2:$D$606,"ГООС",'[1]Исходные данные'!$F$2:$F$606,"21")</f>
        <v>0</v>
      </c>
      <c r="AS17" s="11">
        <f>SUMIFS('[1]Исходные данные'!$J$2:$J$606,'[1]Исходные данные'!$D$2:$D$606,"ГООС",'[1]Исходные данные'!$F$2:$F$606,"21")</f>
        <v>0</v>
      </c>
      <c r="AT17" s="11">
        <f>SUMIFS('[1]Исходные данные'!$I$2:$I$606,'[1]Исходные данные'!$D$2:$D$606,"Ақкетік",'[1]Исходные данные'!$F$2:$F$606,"21")</f>
        <v>0</v>
      </c>
      <c r="AU17" s="11">
        <f>SUMIFS('[1]Исходные данные'!$J$2:$J$606,'[1]Исходные данные'!$D$2:$D$606,"Ақкетік",'[1]Исходные данные'!$F$2:$F$606,"21")</f>
        <v>0</v>
      </c>
      <c r="AV17" s="11">
        <f>SUMIFS('[1]Исходные данные'!$I$2:$I$606,'[1]Исходные данные'!$D$2:$D$606,"Нейрон",'[1]Исходные данные'!$F$2:$F$606,"21")</f>
        <v>0</v>
      </c>
      <c r="AW17" s="11">
        <f>SUMIFS('[1]Исходные данные'!$J$2:$J$606,'[1]Исходные данные'!$D$2:$D$606,"Нейрон",'[1]Исходные данные'!$F$2:$F$606,"21")</f>
        <v>0</v>
      </c>
      <c r="AX17" s="11">
        <f>SUMIFS('[1]Исходные данные'!$I$2:$I$606,'[1]Исходные данные'!$D$2:$D$606,"Бурение",'[1]Исходные данные'!$F$2:$F$606,"21")</f>
        <v>0</v>
      </c>
      <c r="AY17" s="11">
        <f>SUMIFS('[1]Исходные данные'!$J$2:$J$606,'[1]Исходные данные'!$D$2:$D$606,"Бурение",'[1]Исходные данные'!$F$2:$F$606,"21")</f>
        <v>0</v>
      </c>
      <c r="AZ17" s="11">
        <f>SUMIFS('[1]Исходные данные'!$I$2:$I$606,'[1]Исходные данные'!$D$2:$D$606,"ЦТВС",'[1]Исходные данные'!$F$2:$F$606,"21")</f>
        <v>0</v>
      </c>
      <c r="BA17" s="11">
        <f>SUMIFS('[1]Исходные данные'!$J$2:$J$606,'[1]Исходные данные'!$D$2:$D$606,"ЦТВС",'[1]Исходные данные'!$F$2:$F$606,"21")</f>
        <v>0</v>
      </c>
      <c r="BB17" s="11">
        <f>SUMIFS('[1]Исходные данные'!$I$2:$I$606,'[1]Исходные данные'!$D$2:$D$606,"ТБ",'[1]Исходные данные'!$F$2:$F$606,"21")</f>
        <v>0</v>
      </c>
      <c r="BC17" s="11">
        <f>SUMIFS('[1]Исходные данные'!$J$2:$J$606,'[1]Исходные данные'!$D$2:$D$606,"ТБ",'[1]Исходные данные'!$F$2:$F$606,"21")</f>
        <v>0</v>
      </c>
      <c r="BD17" s="11">
        <f>SUMIFS('[1]Исходные данные'!$I$2:$I$606,'[1]Исходные данные'!$D$2:$D$606,"ОТДН",'[1]Исходные данные'!$F$2:$F$606,"21")</f>
        <v>0</v>
      </c>
      <c r="BE17" s="11">
        <f>SUMIFS('[1]Исходные данные'!$J$2:$J$606,'[1]Исходные данные'!$D$2:$D$606,"ОТДН",'[1]Исходные данные'!$F$2:$F$606,"21")</f>
        <v>0</v>
      </c>
      <c r="BF17" s="11">
        <f>SUMIFS('[1]Исходные данные'!$I$2:$I$606,'[1]Исходные данные'!$D$2:$D$606,"ПЧ-Семсер",'[1]Исходные данные'!$F$2:$F$606,"21")</f>
        <v>0</v>
      </c>
      <c r="BG17" s="11">
        <f>SUMIFS('[1]Исходные данные'!$J$2:$J$606,'[1]Исходные данные'!$D$2:$D$606,"ПЧ-Семсер",'[1]Исходные данные'!$F$2:$F$606,"21")</f>
        <v>0</v>
      </c>
      <c r="BH17" s="11">
        <f>SUMIFS('[1]Исходные данные'!$I$2:$I$606,'[1]Исходные данные'!$D$2:$D$606,"ПРЦЭО(2)",'[1]Исходные данные'!$F$2:$F$606,"21")</f>
        <v>4</v>
      </c>
      <c r="BI17" s="11">
        <f>SUMIFS('[1]Исходные данные'!$J$2:$J$606,'[1]Исходные данные'!$D$2:$D$606,"ПРЦЭО(2)",'[1]Исходные данные'!$F$2:$F$606,"21")</f>
        <v>0</v>
      </c>
      <c r="BJ17" s="11">
        <f>SUMIFS('[1]Исходные данные'!$I$2:$I$606,'[1]Исходные данные'!$D$2:$D$606,"БД",'[1]Исходные данные'!$F$2:$F$606,"21")</f>
        <v>0</v>
      </c>
      <c r="BK17" s="11">
        <f>SUMIFS('[1]Исходные данные'!$J$2:$J$606,'[1]Исходные данные'!$D$2:$D$606,"БД",'[1]Исходные данные'!$F$2:$F$606,"21")</f>
        <v>0</v>
      </c>
      <c r="BL17" s="11">
        <f>SUMIFS('[1]Исходные данные'!$I$2:$I$606,'[1]Исходные данные'!$D$2:$D$606,"ОГиР",'[1]Исходные данные'!$F$2:$F$606,"21")</f>
        <v>0</v>
      </c>
      <c r="BM17" s="11">
        <f>SUMIFS('[1]Исходные данные'!$J$2:$J$606,'[1]Исходные данные'!$D$2:$D$606,"ОГиР",'[1]Исходные данные'!$F$2:$F$606,"21")</f>
        <v>0</v>
      </c>
      <c r="BN17" s="11">
        <f>SUMIFS('[1]Исходные данные'!$I$2:$I$606,'[1]Исходные данные'!$D$2:$D$606,"ГСРиВК",'[1]Исходные данные'!$F$2:$F$606,"21")</f>
        <v>0</v>
      </c>
      <c r="BO17" s="11">
        <f>SUMIFS('[1]Исходные данные'!$J$2:$J$606,'[1]Исходные данные'!$D$2:$D$606,"ГСРиВК",'[1]Исходные данные'!$F$2:$F$606,"21")</f>
        <v>0</v>
      </c>
      <c r="BP17" s="11">
        <f>SUMIFS('[1]Исходные данные'!$I$2:$I$606,'[1]Исходные данные'!$D$2:$D$606,"МПГУ",'[1]Исходные данные'!$F$2:$F$606,"21")</f>
        <v>0</v>
      </c>
      <c r="BQ17" s="11">
        <f>SUMIFS('[1]Исходные данные'!$J$2:$J$606,'[1]Исходные данные'!$D$2:$D$606,"МПГУ",'[1]Исходные данные'!$F$2:$F$606,"21")</f>
        <v>0</v>
      </c>
      <c r="BR17" s="11">
        <f>SUMIFS('[1]Исходные данные'!$I$2:$I$606,'[1]Исходные данные'!$D$2:$D$606,"БПО 2",'[1]Исходные данные'!$F$2:$F$606,"21")</f>
        <v>0</v>
      </c>
      <c r="BS17" s="11">
        <f>SUMIFS('[1]Исходные данные'!$J$2:$J$606,'[1]Исходные данные'!$D$2:$D$606,"БПО 2",'[1]Исходные данные'!$F$2:$F$606,"21")</f>
        <v>0</v>
      </c>
      <c r="BT17" s="11">
        <f>SUMIFS('[1]Исходные данные'!$I$2:$I$606,'[1]Исходные данные'!$D$2:$D$606,"ЛД",'[1]Исходные данные'!$F$2:$F$606,"21")</f>
        <v>0</v>
      </c>
      <c r="BU17" s="11">
        <f>SUMIFS('[1]Исходные данные'!$J$2:$J$606,'[1]Исходные данные'!$D$2:$D$606,"ЛД",'[1]Исходные данные'!$F$2:$F$606,"21")</f>
        <v>0</v>
      </c>
      <c r="BV17" s="11">
        <f>SUMIFS('[1]Исходные данные'!$I$2:$I$606,'[1]Исходные данные'!$D$2:$D$606,"Отделкадр",'[1]Исходные данные'!$F$2:$F$606,"21")</f>
        <v>0</v>
      </c>
      <c r="BW17" s="11">
        <f>SUMIFS('[1]Исходные данные'!$J$2:$J$606,'[1]Исходные данные'!$D$2:$D$606,"Отделкадр",'[1]Исходные данные'!$F$2:$F$606,"21")</f>
        <v>0</v>
      </c>
      <c r="BX17" s="11">
        <f>SUMIFS('[1]Исходные данные'!$I$2:$I$606,'[1]Исходные данные'!$D$2:$D$606,"ЦИТС.",'[1]Исходные данные'!$F$2:$F$606,"21")</f>
        <v>0</v>
      </c>
      <c r="BY17" s="11">
        <f>SUMIFS('[1]Исходные данные'!$J$2:$J$606,'[1]Исходные данные'!$D$2:$D$606,"ЦИТС.",'[1]Исходные данные'!$F$2:$F$606,"21")</f>
        <v>0</v>
      </c>
      <c r="BZ17" s="11">
        <f>SUMIFS('[1]Исходные данные'!$I$2:$I$606,'[1]Исходные данные'!$D$2:$D$606,"ОБО",'[1]Исходные данные'!$F$2:$F$606,"21")</f>
        <v>0</v>
      </c>
      <c r="CA17" s="11">
        <f>SUMIFS('[1]Исходные данные'!$J$2:$J$606,'[1]Исходные данные'!$D$2:$D$606,"ОБО",'[1]Исходные данные'!$F$2:$F$606,"21")</f>
        <v>0</v>
      </c>
      <c r="CB17" s="11">
        <f>SUMIFS('[1]Исходные данные'!$I$2:$I$606,'[1]Исходные данные'!$D$2:$D$606,"УЖЭО",'[1]Исходные данные'!$F$2:$F$606,"21")</f>
        <v>0</v>
      </c>
      <c r="CC17" s="11">
        <f>SUMIFS('[1]Исходные данные'!$J$2:$J$606,'[1]Исходные данные'!$D$2:$D$606,"УЖЭО",'[1]Исходные данные'!$F$2:$F$606,"21")</f>
        <v>0</v>
      </c>
      <c r="CD17" s="11">
        <f>SUMIFS('[1]Исходные данные'!$I$2:$I$606,'[1]Исходные данные'!$D$2:$D$606,"Мухтар/Хамит",'[1]Исходные данные'!$F$2:$F$606,"21")</f>
        <v>0</v>
      </c>
      <c r="CE17" s="11">
        <f>SUMIFS('[1]Исходные данные'!$J$2:$J$606,'[1]Исходные данные'!$D$2:$D$606,"Мухтар/Хамит",'[1]Исходные данные'!$F$2:$F$606,"21")</f>
        <v>0</v>
      </c>
      <c r="CF17" s="11">
        <f>SUMIFS('[1]Исходные данные'!$I$2:$I$606,'[1]Исходные данные'!$D$2:$D$606,"ОБО-    СБ",'[1]Исходные данные'!$F$2:$F$606,"21")</f>
        <v>0</v>
      </c>
      <c r="CG17" s="11">
        <f>SUMIFS('[1]Исходные данные'!$J$2:$J$606,'[1]Исходные данные'!$D$2:$D$606,"ОБО-    СБ",'[1]Исходные данные'!$F$2:$F$606,"21")</f>
        <v>0</v>
      </c>
      <c r="CH17" s="11">
        <f>SUMIFS('[1]Исходные данные'!$I$2:$I$606,'[1]Исходные данные'!$D$2:$D$606,"РМУ 2",'[1]Исходные данные'!$F$2:$F$606,"21")</f>
        <v>0</v>
      </c>
      <c r="CI17" s="11">
        <f>SUMIFS('[1]Исходные данные'!$J$2:$J$606,'[1]Исходные данные'!$D$2:$D$606,"РМУ 2",'[1]Исходные данные'!$F$2:$F$606,"21")</f>
        <v>0</v>
      </c>
      <c r="CJ17" s="11">
        <f>SUMIFS('[1]Исходные данные'!$I$2:$I$606,'[1]Исходные данные'!$D$2:$D$606,"ГАПиИТ",'[1]Исходные данные'!$F$2:$F$606,"21")</f>
        <v>0</v>
      </c>
      <c r="CK17" s="11">
        <f>SUMIFS('[1]Исходные данные'!$J$2:$J$606,'[1]Исходные данные'!$D$2:$D$606,"ГАПиИТ",'[1]Исходные данные'!$F$2:$F$606,"21")</f>
        <v>0</v>
      </c>
      <c r="CL17" s="11">
        <f>SUMIFS('[1]Исходные данные'!$I$2:$I$606,'[1]Исходные данные'!$D$2:$D$606,"ОМ",'[1]Исходные данные'!$F$2:$F$606,"21")</f>
        <v>0</v>
      </c>
      <c r="CM17" s="11">
        <f>SUMIFS('[1]Исходные данные'!$J$2:$J$606,'[1]Исходные данные'!$D$2:$D$606,"ОМ",'[1]Исходные данные'!$F$2:$F$606,"21")</f>
        <v>0</v>
      </c>
      <c r="CN17" s="11">
        <f>SUMIFS('[1]Исходные данные'!$I$2:$I$606,'[1]Исходные данные'!$D$2:$D$606,"оппоIR",'[1]Исходные данные'!$F$2:$F$606,"21")</f>
        <v>0</v>
      </c>
      <c r="CO17" s="11">
        <f>SUMIFS('[1]Исходные данные'!$J$2:$J$606,'[1]Исходные данные'!$D$2:$D$606,"оппоIR",'[1]Исходные данные'!$F$2:$F$606,"21")</f>
        <v>0</v>
      </c>
      <c r="CP17" s="11">
        <f>SUMIFS('[1]Исходные данные'!$I$2:$I$606,'[1]Исходные данные'!$D$2:$D$606,"Маркшейдер",'[1]Исходные данные'!$F$2:$F$606,"21")</f>
        <v>0</v>
      </c>
      <c r="CQ17" s="11">
        <f>SUMIFS('[1]Исходные данные'!$J$2:$J$606,'[1]Исходные данные'!$D$2:$D$606,"Маркшейдер",'[1]Исходные данные'!$F$2:$F$606,"21")</f>
        <v>0</v>
      </c>
      <c r="CR17" s="11">
        <f>SUMIFS('[1]Исходные данные'!$I$2:$I$606,'[1]Исходные данные'!$D$2:$D$606,"ПСО",'[1]Исходные данные'!$F$2:$F$606,"21")</f>
        <v>0</v>
      </c>
      <c r="CS17" s="11">
        <f>SUMIFS('[1]Исходные данные'!$J$2:$J$606,'[1]Исходные данные'!$D$2:$D$606,"ПСО",'[1]Исходные данные'!$F$2:$F$606,"21")</f>
        <v>0</v>
      </c>
    </row>
    <row r="18" spans="1:97" x14ac:dyDescent="0.25">
      <c r="A18" s="13" t="s">
        <v>81</v>
      </c>
      <c r="B18" s="11" t="s">
        <v>82</v>
      </c>
      <c r="C18" s="10">
        <f t="shared" si="0"/>
        <v>10</v>
      </c>
      <c r="D18" s="10">
        <f t="shared" si="1"/>
        <v>9</v>
      </c>
      <c r="E18" s="10">
        <f t="shared" si="1"/>
        <v>1</v>
      </c>
      <c r="F18" s="11">
        <f>SUMIFS('[1]Исходные данные'!$I$2:$I$606,'[1]Исходные данные'!$D$2:$D$606,"ЦДН-1",'[1]Исходные данные'!$F$2:$F$606,"53")</f>
        <v>0</v>
      </c>
      <c r="G18" s="11">
        <f>SUMIFS('[1]Исходные данные'!$J$2:$J$606,'[1]Исходные данные'!$D$2:$D$606,"ЦДН-1",'[1]Исходные данные'!$F$2:$F$606,"53")</f>
        <v>0</v>
      </c>
      <c r="H18" s="11">
        <f>SUMIFS('[1]Исходные данные'!$I$2:$I$606,'[1]Исходные данные'!$D$2:$D$606,"ЦДН-2",'[1]Исходные данные'!$F$2:$F$606,"53")</f>
        <v>0</v>
      </c>
      <c r="I18" s="11">
        <f>SUMIFS('[1]Исходные данные'!$J$2:$J$606,'[1]Исходные данные'!$D$2:$D$606,"ЦДН-2",'[1]Исходные данные'!$F$2:$F$606,"53")</f>
        <v>0</v>
      </c>
      <c r="J18" s="11">
        <f>SUMIFS('[1]Исходные данные'!$I$2:$I$606,'[1]Исходные данные'!$D$2:$D$606,"ЦДН-3",'[1]Исходные данные'!$F$2:$F$606,"53")</f>
        <v>0</v>
      </c>
      <c r="K18" s="11">
        <f>SUMIFS('[1]Исходные данные'!$J$2:$J$606,'[1]Исходные данные'!$D$2:$D$606,"ЦДН-3",'[1]Исходные данные'!$F$2:$F$606,"53")</f>
        <v>0</v>
      </c>
      <c r="L18" s="11">
        <f>SUMIFS('[1]Исходные данные'!$I$2:$I$606,'[1]Исходные данные'!$D$2:$D$606,"ЦППН",'[1]Исходные данные'!$F$2:$F$606,"53")</f>
        <v>0</v>
      </c>
      <c r="M18" s="11">
        <f>SUMIFS('[1]Исходные данные'!$J$2:$J$606,'[1]Исходные данные'!$D$2:$D$606,"ЦППН",'[1]Исходные данные'!$F$2:$F$606,"53")</f>
        <v>0</v>
      </c>
      <c r="N18" s="11">
        <f>SUMIFS('[1]Исходные данные'!$I$2:$I$606,'[1]Исходные данные'!$D$2:$D$606,"ЦППД",'[1]Исходные данные'!$F$2:$F$606,"53")</f>
        <v>1</v>
      </c>
      <c r="O18" s="11">
        <f>SUMIFS('[1]Исходные данные'!$J$2:$J$606,'[1]Исходные данные'!$D$2:$D$606,"ЦППД",'[1]Исходные данные'!$F$2:$F$606,"53")</f>
        <v>0</v>
      </c>
      <c r="P18" s="11">
        <f>SUMIFS('[1]Исходные данные'!$I$2:$I$606,'[1]Исходные данные'!$D$2:$D$606,"ЭЦ",'[1]Исходные данные'!$F$2:$F$606,"53")</f>
        <v>0</v>
      </c>
      <c r="Q18" s="11">
        <f>SUMIFS('[1]Исходные данные'!$J$2:$J$606,'[1]Исходные данные'!$D$2:$D$606,"ЭЦ",'[1]Исходные данные'!$F$2:$F$606,"53")</f>
        <v>0</v>
      </c>
      <c r="R18" s="11">
        <f>SUMIFS('[1]Исходные данные'!$I$2:$I$606,'[1]Исходные данные'!$D$2:$D$606,"ОКС",'[1]Исходные данные'!$F$2:$F$606,"53")</f>
        <v>1</v>
      </c>
      <c r="S18" s="11">
        <f>SUMIFS('[1]Исходные данные'!$J$2:$J$606,'[1]Исходные данные'!$D$2:$D$606,"ОКС",'[1]Исходные данные'!$F$2:$F$606,"53")</f>
        <v>0</v>
      </c>
      <c r="T18" s="11">
        <f>SUMIFS('[1]Исходные данные'!$I$2:$I$606,'[1]Исходные данные'!$D$2:$D$606,"РСЦ",'[1]Исходные данные'!$F$2:$F$606,"53")</f>
        <v>0</v>
      </c>
      <c r="U18" s="11">
        <f>SUMIFS('[1]Исходные данные'!$J$2:$J$606,'[1]Исходные данные'!$D$2:$D$606,"РСЦ",'[1]Исходные данные'!$F$2:$F$606,"53")</f>
        <v>0</v>
      </c>
      <c r="V18" s="11">
        <f>SUMIFS('[1]Исходные данные'!$I$2:$I$606,'[1]Исходные данные'!$D$2:$D$606,"ЦИТС",'[1]Исходные данные'!$F$2:$F$606,"53")</f>
        <v>0</v>
      </c>
      <c r="W18" s="11">
        <f>SUMIFS('[1]Исходные данные'!$J$2:$J$606,'[1]Исходные данные'!$D$2:$D$606,"ЦИТС",'[1]Исходные данные'!$F$2:$F$606,"53")</f>
        <v>0</v>
      </c>
      <c r="X18" s="11">
        <f>SUMIFS('[1]Исходные данные'!$I$2:$I$606,'[1]Исходные данные'!$D$2:$D$606,"ПРЦЭО",'[1]Исходные данные'!$F$2:$F$606,"53")</f>
        <v>1</v>
      </c>
      <c r="Y18" s="11">
        <f>SUMIFS('[1]Исходные данные'!$J$2:$J$606,'[1]Исходные данные'!$D$2:$D$606,"ПРЦЭО",'[1]Исходные данные'!$F$2:$F$606,"53")</f>
        <v>0</v>
      </c>
      <c r="Z18" s="11">
        <f>SUMIFS('[1]Исходные данные'!$I$2:$I$606,'[1]Исходные данные'!$D$2:$D$606,"ГЦ",'[1]Исходные данные'!$F$2:$F$606,"53")</f>
        <v>0</v>
      </c>
      <c r="AA18" s="11">
        <f>SUMIFS('[1]Исходные данные'!$J$2:$J$606,'[1]Исходные данные'!$D$2:$D$606,"ГЦ",'[1]Исходные данные'!$F$2:$F$606,"53")</f>
        <v>0</v>
      </c>
      <c r="AB18" s="11">
        <f>SUMIFS('[1]Исходные данные'!$I$2:$I$606,'[1]Исходные данные'!$D$2:$D$606,"ЦПП",'[1]Исходные данные'!$F$2:$F$606,"53")</f>
        <v>1</v>
      </c>
      <c r="AC18" s="11">
        <f>SUMIFS('[1]Исходные данные'!$J$2:$J$606,'[1]Исходные данные'!$D$2:$D$606,"ЦПП",'[1]Исходные данные'!$F$2:$F$606,"53")</f>
        <v>0</v>
      </c>
      <c r="AD18" s="11">
        <f>SUMIFS('[1]Исходные данные'!$I$2:$I$606,'[1]Исходные данные'!$D$2:$D$606,"БМТС",'[1]Исходные данные'!$F$2:$F$606,"53")</f>
        <v>2</v>
      </c>
      <c r="AE18" s="11">
        <f>SUMIFS('[1]Исходные данные'!$J$2:$J$606,'[1]Исходные данные'!$D$2:$D$606,"БМТС",'[1]Исходные данные'!$F$2:$F$606,"53")</f>
        <v>0</v>
      </c>
      <c r="AF18" s="11">
        <f>SUMIFS('[1]Исходные данные'!$I$2:$I$606,'[1]Исходные данные'!$D$2:$D$606,"УБиПКРС-1",'[1]Исходные данные'!$F$2:$F$606,"53")</f>
        <v>0</v>
      </c>
      <c r="AG18" s="11">
        <f>SUMIFS('[1]Исходные данные'!$J$2:$J$606,'[1]Исходные данные'!$D$2:$D$606,"УБиПКРС-1",'[1]Исходные данные'!$F$2:$F$606,"53")</f>
        <v>0</v>
      </c>
      <c r="AH18" s="11">
        <f>SUMIFS('[1]Исходные данные'!$I$2:$I$606,'[1]Исходные данные'!$D$2:$D$606,"УБиПКРС-2",'[1]Исходные данные'!$F$2:$F$606,"53")</f>
        <v>0</v>
      </c>
      <c r="AI18" s="11">
        <f>SUMIFS('[1]Исходные данные'!$J$2:$J$606,'[1]Исходные данные'!$D$2:$D$606,"УБиПКРС-2",'[1]Исходные данные'!$F$2:$F$606,"53")</f>
        <v>0</v>
      </c>
      <c r="AJ18" s="11">
        <f>SUMIFS('[1]Исходные данные'!$I$2:$I$606,'[1]Исходные данные'!$D$2:$D$606,"ДТТ-1",'[1]Исходные данные'!$F$2:$F$606,"53")</f>
        <v>0</v>
      </c>
      <c r="AK18" s="11">
        <f>SUMIFS('[1]Исходные данные'!$J$2:$J$606,'[1]Исходные данные'!$D$2:$D$606,"ДТТ-1",'[1]Исходные данные'!$F$2:$F$606,"53")</f>
        <v>0</v>
      </c>
      <c r="AL18" s="11">
        <f>SUMIFS('[1]Исходные данные'!$I$2:$I$606,'[1]Исходные данные'!$D$2:$D$606,"ЦНИПР",'[1]Исходные данные'!$F$2:$F$606,"53")</f>
        <v>0</v>
      </c>
      <c r="AM18" s="11">
        <f>SUMIFS('[1]Исходные данные'!$J$2:$J$606,'[1]Исходные данные'!$D$2:$D$606,"ЦНИПР",'[1]Исходные данные'!$F$2:$F$606,"53")</f>
        <v>0</v>
      </c>
      <c r="AN18" s="11">
        <f>SUMIFS('[1]Исходные данные'!$I$2:$I$606,'[1]Исходные данные'!$D$2:$D$606,"ОБиПКРС",'[1]Исходные данные'!$F$2:$F$606,"53")</f>
        <v>0</v>
      </c>
      <c r="AO18" s="11">
        <f>SUMIFS('[1]Исходные данные'!$J$2:$J$606,'[1]Исходные данные'!$D$2:$D$606,"ОБиПКРС",'[1]Исходные данные'!$F$2:$F$606,"53")</f>
        <v>0</v>
      </c>
      <c r="AP18" s="11">
        <f>SUMIFS('[1]Исходные данные'!$I$2:$I$606,'[1]Исходные данные'!$D$2:$D$606,"ЦАП",'[1]Исходные данные'!$F$2:$F$606,"53")</f>
        <v>0</v>
      </c>
      <c r="AQ18" s="11">
        <f>SUMIFS('[1]Исходные данные'!$J$2:$J$606,'[1]Исходные данные'!$D$2:$D$606,"ЦАП",'[1]Исходные данные'!$F$2:$F$606,"53")</f>
        <v>0</v>
      </c>
      <c r="AR18" s="11">
        <f>SUMIFS('[1]Исходные данные'!$I$2:$I$606,'[1]Исходные данные'!$D$2:$D$606,"ГООС",'[1]Исходные данные'!$F$2:$F$606,"53")</f>
        <v>1</v>
      </c>
      <c r="AS18" s="11">
        <f>SUMIFS('[1]Исходные данные'!$J$2:$J$606,'[1]Исходные данные'!$D$2:$D$606,"ГООС",'[1]Исходные данные'!$F$2:$F$606,"53")</f>
        <v>0</v>
      </c>
      <c r="AT18" s="11">
        <f>SUMIFS('[1]Исходные данные'!$I$2:$I$606,'[1]Исходные данные'!$D$2:$D$606,"Ақкетік",'[1]Исходные данные'!$F$2:$F$606,"53")</f>
        <v>1</v>
      </c>
      <c r="AU18" s="11">
        <f>SUMIFS('[1]Исходные данные'!$J$2:$J$606,'[1]Исходные данные'!$D$2:$D$606,"Ақкетік",'[1]Исходные данные'!$F$2:$F$606,"53")</f>
        <v>0</v>
      </c>
      <c r="AV18" s="11">
        <f>SUMIFS('[1]Исходные данные'!$I$2:$I$606,'[1]Исходные данные'!$D$2:$D$606,"Нейрон",'[1]Исходные данные'!$F$2:$F$606,"53")</f>
        <v>0</v>
      </c>
      <c r="AW18" s="11">
        <f>SUMIFS('[1]Исходные данные'!$J$2:$J$606,'[1]Исходные данные'!$D$2:$D$606,"Нейрон",'[1]Исходные данные'!$F$2:$F$606,"53")</f>
        <v>0</v>
      </c>
      <c r="AX18" s="11">
        <f>SUMIFS('[1]Исходные данные'!$I$2:$I$606,'[1]Исходные данные'!$D$2:$D$606,"Бурение",'[1]Исходные данные'!$F$2:$F$606,"53")</f>
        <v>1</v>
      </c>
      <c r="AY18" s="11">
        <f>SUMIFS('[1]Исходные данные'!$J$2:$J$606,'[1]Исходные данные'!$D$2:$D$606,"Бурение",'[1]Исходные данные'!$F$2:$F$606,"53")</f>
        <v>1</v>
      </c>
      <c r="AZ18" s="11">
        <f>SUMIFS('[1]Исходные данные'!$I$2:$I$606,'[1]Исходные данные'!$D$2:$D$606,"ЦТВС",'[1]Исходные данные'!$F$2:$F$606,"53")</f>
        <v>0</v>
      </c>
      <c r="BA18" s="11">
        <f>SUMIFS('[1]Исходные данные'!$J$2:$J$606,'[1]Исходные данные'!$D$2:$D$606,"ЦТВС",'[1]Исходные данные'!$F$2:$F$606,"53")</f>
        <v>0</v>
      </c>
      <c r="BB18" s="11">
        <f>SUMIFS('[1]Исходные данные'!$I$2:$I$606,'[1]Исходные данные'!$D$2:$D$606,"ТБ",'[1]Исходные данные'!$F$2:$F$606,"53")</f>
        <v>0</v>
      </c>
      <c r="BC18" s="11">
        <f>SUMIFS('[1]Исходные данные'!$J$2:$J$606,'[1]Исходные данные'!$D$2:$D$606,"ТБ",'[1]Исходные данные'!$F$2:$F$606,"53")</f>
        <v>0</v>
      </c>
      <c r="BD18" s="11">
        <f>SUMIFS('[1]Исходные данные'!$I$2:$I$606,'[1]Исходные данные'!$D$2:$D$606,"ОТДН",'[1]Исходные данные'!$F$2:$F$606,"53")</f>
        <v>0</v>
      </c>
      <c r="BE18" s="11">
        <f>SUMIFS('[1]Исходные данные'!$J$2:$J$606,'[1]Исходные данные'!$D$2:$D$606,"ОТДН",'[1]Исходные данные'!$F$2:$F$606,"53")</f>
        <v>0</v>
      </c>
      <c r="BF18" s="11">
        <f>SUMIFS('[1]Исходные данные'!$I$2:$I$606,'[1]Исходные данные'!$D$2:$D$606,"ПЧ-Семсер",'[1]Исходные данные'!$F$2:$F$606,"53")</f>
        <v>0</v>
      </c>
      <c r="BG18" s="11">
        <f>SUMIFS('[1]Исходные данные'!$J$2:$J$606,'[1]Исходные данные'!$D$2:$D$606,"ПЧ-Семсер",'[1]Исходные данные'!$F$2:$F$606,"53")</f>
        <v>0</v>
      </c>
      <c r="BH18" s="11">
        <f>SUMIFS('[1]Исходные данные'!$I$2:$I$606,'[1]Исходные данные'!$D$2:$D$606,"ПРЦЭО(2)",'[1]Исходные данные'!$F$2:$F$606,"53")</f>
        <v>0</v>
      </c>
      <c r="BI18" s="11">
        <f>SUMIFS('[1]Исходные данные'!$J$2:$J$606,'[1]Исходные данные'!$D$2:$D$606,"ПРЦЭО(2)",'[1]Исходные данные'!$F$2:$F$606,"53")</f>
        <v>0</v>
      </c>
      <c r="BJ18" s="11">
        <f>SUMIFS('[1]Исходные данные'!$I$2:$I$606,'[1]Исходные данные'!$D$2:$D$606,"БД",'[1]Исходные данные'!$F$2:$F$606,"53")</f>
        <v>0</v>
      </c>
      <c r="BK18" s="11">
        <f>SUMIFS('[1]Исходные данные'!$J$2:$J$606,'[1]Исходные данные'!$D$2:$D$606,"БД",'[1]Исходные данные'!$F$2:$F$606,"53")</f>
        <v>0</v>
      </c>
      <c r="BL18" s="11">
        <f>SUMIFS('[1]Исходные данные'!$I$2:$I$606,'[1]Исходные данные'!$D$2:$D$606,"ОГиР",'[1]Исходные данные'!$F$2:$F$606,"53")</f>
        <v>0</v>
      </c>
      <c r="BM18" s="11">
        <f>SUMIFS('[1]Исходные данные'!$J$2:$J$606,'[1]Исходные данные'!$D$2:$D$606,"ОГиР",'[1]Исходные данные'!$F$2:$F$606,"53")</f>
        <v>0</v>
      </c>
      <c r="BN18" s="11">
        <f>SUMIFS('[1]Исходные данные'!$I$2:$I$606,'[1]Исходные данные'!$D$2:$D$606,"ГСРиВК",'[1]Исходные данные'!$F$2:$F$606,"53")</f>
        <v>0</v>
      </c>
      <c r="BO18" s="11">
        <f>SUMIFS('[1]Исходные данные'!$J$2:$J$606,'[1]Исходные данные'!$D$2:$D$606,"ГСРиВК",'[1]Исходные данные'!$F$2:$F$606,"53")</f>
        <v>0</v>
      </c>
      <c r="BP18" s="11">
        <f>SUMIFS('[1]Исходные данные'!$I$2:$I$606,'[1]Исходные данные'!$D$2:$D$606,"МПГУ",'[1]Исходные данные'!$F$2:$F$606,"53")</f>
        <v>0</v>
      </c>
      <c r="BQ18" s="11">
        <f>SUMIFS('[1]Исходные данные'!$J$2:$J$606,'[1]Исходные данные'!$D$2:$D$606,"МПГУ",'[1]Исходные данные'!$F$2:$F$606,"53")</f>
        <v>0</v>
      </c>
      <c r="BR18" s="11">
        <f>SUMIFS('[1]Исходные данные'!$I$2:$I$606,'[1]Исходные данные'!$D$2:$D$606,"БПО 2",'[1]Исходные данные'!$F$2:$F$606,"53")</f>
        <v>0</v>
      </c>
      <c r="BS18" s="11">
        <f>SUMIFS('[1]Исходные данные'!$J$2:$J$606,'[1]Исходные данные'!$D$2:$D$606,"БПО 2",'[1]Исходные данные'!$F$2:$F$606,"53")</f>
        <v>0</v>
      </c>
      <c r="BT18" s="11">
        <f>SUMIFS('[1]Исходные данные'!$I$2:$I$606,'[1]Исходные данные'!$D$2:$D$606,"ЛД",'[1]Исходные данные'!$F$2:$F$606,"53")</f>
        <v>0</v>
      </c>
      <c r="BU18" s="11">
        <f>SUMIFS('[1]Исходные данные'!$J$2:$J$606,'[1]Исходные данные'!$D$2:$D$606,"ЛД",'[1]Исходные данные'!$F$2:$F$606,"53")</f>
        <v>0</v>
      </c>
      <c r="BV18" s="11">
        <f>SUMIFS('[1]Исходные данные'!$I$2:$I$606,'[1]Исходные данные'!$D$2:$D$606,"Отделкадр",'[1]Исходные данные'!$F$2:$F$606,"53")</f>
        <v>0</v>
      </c>
      <c r="BW18" s="11">
        <f>SUMIFS('[1]Исходные данные'!$J$2:$J$606,'[1]Исходные данные'!$D$2:$D$606,"Отделкадр",'[1]Исходные данные'!$F$2:$F$606,"53")</f>
        <v>0</v>
      </c>
      <c r="BX18" s="11">
        <f>SUMIFS('[1]Исходные данные'!$I$2:$I$606,'[1]Исходные данные'!$D$2:$D$606,"ЦИТС.",'[1]Исходные данные'!$F$2:$F$606,"53")</f>
        <v>0</v>
      </c>
      <c r="BY18" s="11">
        <f>SUMIFS('[1]Исходные данные'!$J$2:$J$606,'[1]Исходные данные'!$D$2:$D$606,"ЦИТС.",'[1]Исходные данные'!$F$2:$F$606,"53")</f>
        <v>0</v>
      </c>
      <c r="BZ18" s="11">
        <f>SUMIFS('[1]Исходные данные'!$I$2:$I$606,'[1]Исходные данные'!$D$2:$D$606,"ОБО",'[1]Исходные данные'!$F$2:$F$606,"53")</f>
        <v>0</v>
      </c>
      <c r="CA18" s="11">
        <f>SUMIFS('[1]Исходные данные'!$J$2:$J$606,'[1]Исходные данные'!$D$2:$D$606,"ОБО",'[1]Исходные данные'!$F$2:$F$606,"53")</f>
        <v>0</v>
      </c>
      <c r="CB18" s="11">
        <f>SUMIFS('[1]Исходные данные'!$I$2:$I$606,'[1]Исходные данные'!$D$2:$D$606,"УЖЭО",'[1]Исходные данные'!$F$2:$F$606,"53")</f>
        <v>0</v>
      </c>
      <c r="CC18" s="11">
        <f>SUMIFS('[1]Исходные данные'!$J$2:$J$606,'[1]Исходные данные'!$D$2:$D$606,"УЖЭО",'[1]Исходные данные'!$F$2:$F$606,"53")</f>
        <v>0</v>
      </c>
      <c r="CD18" s="11">
        <f>SUMIFS('[1]Исходные данные'!$I$2:$I$606,'[1]Исходные данные'!$D$2:$D$606,"Мухтар/Хамит",'[1]Исходные данные'!$F$2:$F$606,"53")</f>
        <v>0</v>
      </c>
      <c r="CE18" s="11">
        <f>SUMIFS('[1]Исходные данные'!$J$2:$J$606,'[1]Исходные данные'!$D$2:$D$606,"Мухтар/Хамит",'[1]Исходные данные'!$F$2:$F$606,"53")</f>
        <v>0</v>
      </c>
      <c r="CF18" s="11">
        <f>SUMIFS('[1]Исходные данные'!$I$2:$I$606,'[1]Исходные данные'!$D$2:$D$606,"ОБО-    СБ",'[1]Исходные данные'!$F$2:$F$606,"53")</f>
        <v>0</v>
      </c>
      <c r="CG18" s="11">
        <f>SUMIFS('[1]Исходные данные'!$J$2:$J$606,'[1]Исходные данные'!$D$2:$D$606,"ОБО-    СБ",'[1]Исходные данные'!$F$2:$F$606,"53")</f>
        <v>0</v>
      </c>
      <c r="CH18" s="11">
        <f>SUMIFS('[1]Исходные данные'!$I$2:$I$606,'[1]Исходные данные'!$D$2:$D$606,"РМУ 2",'[1]Исходные данные'!$F$2:$F$606,"53")</f>
        <v>0</v>
      </c>
      <c r="CI18" s="11">
        <f>SUMIFS('[1]Исходные данные'!$J$2:$J$606,'[1]Исходные данные'!$D$2:$D$606,"РМУ 2",'[1]Исходные данные'!$F$2:$F$606,"53")</f>
        <v>0</v>
      </c>
      <c r="CJ18" s="11">
        <f>SUMIFS('[1]Исходные данные'!$I$2:$I$606,'[1]Исходные данные'!$D$2:$D$606,"ГАПиИТ",'[1]Исходные данные'!$F$2:$F$606,"53")</f>
        <v>0</v>
      </c>
      <c r="CK18" s="11">
        <f>SUMIFS('[1]Исходные данные'!$J$2:$J$606,'[1]Исходные данные'!$D$2:$D$606,"ГАПиИТ",'[1]Исходные данные'!$F$2:$F$606,"53")</f>
        <v>0</v>
      </c>
      <c r="CL18" s="11">
        <f>SUMIFS('[1]Исходные данные'!$I$2:$I$606,'[1]Исходные данные'!$D$2:$D$606,"ОМ",'[1]Исходные данные'!$F$2:$F$606,"53")</f>
        <v>0</v>
      </c>
      <c r="CM18" s="11">
        <f>SUMIFS('[1]Исходные данные'!$J$2:$J$606,'[1]Исходные данные'!$D$2:$D$606,"ОМ",'[1]Исходные данные'!$F$2:$F$606,"53")</f>
        <v>0</v>
      </c>
      <c r="CN18" s="11">
        <f>SUMIFS('[1]Исходные данные'!$I$2:$I$606,'[1]Исходные данные'!$D$2:$D$606,"оппоIR",'[1]Исходные данные'!$F$2:$F$606,"53")</f>
        <v>0</v>
      </c>
      <c r="CO18" s="11">
        <f>SUMIFS('[1]Исходные данные'!$J$2:$J$606,'[1]Исходные данные'!$D$2:$D$606,"оппоIR",'[1]Исходные данные'!$F$2:$F$606,"53")</f>
        <v>0</v>
      </c>
      <c r="CP18" s="11">
        <f>SUMIFS('[1]Исходные данные'!$I$2:$I$606,'[1]Исходные данные'!$D$2:$D$606,"Маркшейдер",'[1]Исходные данные'!$F$2:$F$606,"53")</f>
        <v>0</v>
      </c>
      <c r="CQ18" s="11">
        <f>SUMIFS('[1]Исходные данные'!$J$2:$J$606,'[1]Исходные данные'!$D$2:$D$606,"Маркшейдер",'[1]Исходные данные'!$F$2:$F$606,"53")</f>
        <v>0</v>
      </c>
      <c r="CR18" s="11">
        <f>SUMIFS('[1]Исходные данные'!$I$2:$I$606,'[1]Исходные данные'!$D$2:$D$606,"ПСО",'[1]Исходные данные'!$F$2:$F$606,"53")</f>
        <v>0</v>
      </c>
      <c r="CS18" s="11">
        <f>SUMIFS('[1]Исходные данные'!$J$2:$J$606,'[1]Исходные данные'!$D$2:$D$606,"ПСО",'[1]Исходные данные'!$F$2:$F$606,"53")</f>
        <v>0</v>
      </c>
    </row>
    <row r="19" spans="1:97" x14ac:dyDescent="0.25">
      <c r="A19" s="13" t="s">
        <v>83</v>
      </c>
      <c r="B19" s="11" t="s">
        <v>84</v>
      </c>
      <c r="C19" s="10">
        <f t="shared" si="0"/>
        <v>7</v>
      </c>
      <c r="D19" s="10">
        <f t="shared" si="1"/>
        <v>4</v>
      </c>
      <c r="E19" s="10">
        <f t="shared" si="1"/>
        <v>3</v>
      </c>
      <c r="F19" s="11">
        <f>SUMIFS('[1]Исходные данные'!$I$2:$I$606,'[1]Исходные данные'!$D$2:$D$606,"ЦДН-1",'[1]Исходные данные'!$F$2:$F$606,"11")</f>
        <v>0</v>
      </c>
      <c r="G19" s="11">
        <f>SUMIFS('[1]Исходные данные'!$J$2:$J$606,'[1]Исходные данные'!$D$2:$D$606,"ЦДН-1",'[1]Исходные данные'!$F$2:$F$606,"11")</f>
        <v>0</v>
      </c>
      <c r="H19" s="11">
        <f>SUMIFS('[1]Исходные данные'!$I$2:$I$606,'[1]Исходные данные'!$D$2:$D$606,"ЦДН-2",'[1]Исходные данные'!$F$2:$F$606,"11")</f>
        <v>0</v>
      </c>
      <c r="I19" s="11">
        <f>SUMIFS('[1]Исходные данные'!$J$2:$J$606,'[1]Исходные данные'!$D$2:$D$606,"ЦДН-2",'[1]Исходные данные'!$F$2:$F$606,"11")</f>
        <v>0</v>
      </c>
      <c r="J19" s="11">
        <f>SUMIFS('[1]Исходные данные'!$I$2:$I$606,'[1]Исходные данные'!$D$2:$D$606,"ЦДН-3",'[1]Исходные данные'!$F$2:$F$606,"11")</f>
        <v>0</v>
      </c>
      <c r="K19" s="11">
        <f>SUMIFS('[1]Исходные данные'!$J$2:$J$606,'[1]Исходные данные'!$D$2:$D$606,"ЦДН-3",'[1]Исходные данные'!$F$2:$F$606,"11")</f>
        <v>0</v>
      </c>
      <c r="L19" s="11">
        <f>SUMIFS('[1]Исходные данные'!$I$2:$I$606,'[1]Исходные данные'!$D$2:$D$606,"ЦППН",'[1]Исходные данные'!$F$2:$F$606,"11")</f>
        <v>0</v>
      </c>
      <c r="M19" s="11">
        <f>SUMIFS('[1]Исходные данные'!$J$2:$J$606,'[1]Исходные данные'!$D$2:$D$606,"ЦППН",'[1]Исходные данные'!$F$2:$F$606,"11")</f>
        <v>0</v>
      </c>
      <c r="N19" s="11">
        <f>SUMIFS('[1]Исходные данные'!$I$2:$I$606,'[1]Исходные данные'!$D$2:$D$606,"ЦППД",'[1]Исходные данные'!$F$2:$F$606,"11")</f>
        <v>0</v>
      </c>
      <c r="O19" s="11">
        <f>SUMIFS('[1]Исходные данные'!$J$2:$J$606,'[1]Исходные данные'!$D$2:$D$606,"ЦППД",'[1]Исходные данные'!$F$2:$F$606,"11")</f>
        <v>0</v>
      </c>
      <c r="P19" s="11">
        <f>SUMIFS('[1]Исходные данные'!$I$2:$I$606,'[1]Исходные данные'!$D$2:$D$606,"ЭЦ",'[1]Исходные данные'!$F$2:$F$606,"11")</f>
        <v>0</v>
      </c>
      <c r="Q19" s="11">
        <f>SUMIFS('[1]Исходные данные'!$J$2:$J$606,'[1]Исходные данные'!$D$2:$D$606,"ЭЦ",'[1]Исходные данные'!$F$2:$F$606,"11")</f>
        <v>0</v>
      </c>
      <c r="R19" s="11">
        <f>SUMIFS('[1]Исходные данные'!$I$2:$I$606,'[1]Исходные данные'!$D$2:$D$606,"ОКС",'[1]Исходные данные'!$F$2:$F$606,"11")</f>
        <v>0</v>
      </c>
      <c r="S19" s="11">
        <f>SUMIFS('[1]Исходные данные'!$J$2:$J$606,'[1]Исходные данные'!$D$2:$D$606,"ОКС",'[1]Исходные данные'!$F$2:$F$606,"11")</f>
        <v>0</v>
      </c>
      <c r="T19" s="11">
        <f>SUMIFS('[1]Исходные данные'!$I$2:$I$606,'[1]Исходные данные'!$D$2:$D$606,"РСЦ",'[1]Исходные данные'!$F$2:$F$606,"11")</f>
        <v>0</v>
      </c>
      <c r="U19" s="11">
        <f>SUMIFS('[1]Исходные данные'!$J$2:$J$606,'[1]Исходные данные'!$D$2:$D$606,"РСЦ",'[1]Исходные данные'!$F$2:$F$606,"11")</f>
        <v>0</v>
      </c>
      <c r="V19" s="11">
        <f>SUMIFS('[1]Исходные данные'!$I$2:$I$606,'[1]Исходные данные'!$D$2:$D$606,"ЦИТС",'[1]Исходные данные'!$F$2:$F$606,"11")</f>
        <v>0</v>
      </c>
      <c r="W19" s="11">
        <f>SUMIFS('[1]Исходные данные'!$J$2:$J$606,'[1]Исходные данные'!$D$2:$D$606,"ЦИТС",'[1]Исходные данные'!$F$2:$F$606,"11")</f>
        <v>0</v>
      </c>
      <c r="X19" s="11">
        <f>SUMIFS('[1]Исходные данные'!$I$2:$I$606,'[1]Исходные данные'!$D$2:$D$606,"ПРЦЭО",'[1]Исходные данные'!$F$2:$F$606,"11")</f>
        <v>0</v>
      </c>
      <c r="Y19" s="11">
        <f>SUMIFS('[1]Исходные данные'!$J$2:$J$606,'[1]Исходные данные'!$D$2:$D$606,"ПРЦЭО",'[1]Исходные данные'!$F$2:$F$606,"11")</f>
        <v>0</v>
      </c>
      <c r="Z19" s="11">
        <f>SUMIFS('[1]Исходные данные'!$I$2:$I$606,'[1]Исходные данные'!$D$2:$D$606,"ГЦ",'[1]Исходные данные'!$F$2:$F$606,"11")</f>
        <v>0</v>
      </c>
      <c r="AA19" s="11">
        <f>SUMIFS('[1]Исходные данные'!$J$2:$J$606,'[1]Исходные данные'!$D$2:$D$606,"ГЦ",'[1]Исходные данные'!$F$2:$F$606,"11")</f>
        <v>0</v>
      </c>
      <c r="AB19" s="11">
        <f>SUMIFS('[1]Исходные данные'!$I$2:$I$606,'[1]Исходные данные'!$D$2:$D$606,"ЦПП",'[1]Исходные данные'!$F$2:$F$606,"11")</f>
        <v>0</v>
      </c>
      <c r="AC19" s="11">
        <f>SUMIFS('[1]Исходные данные'!$J$2:$J$606,'[1]Исходные данные'!$D$2:$D$606,"ЦПП",'[1]Исходные данные'!$F$2:$F$606,"11")</f>
        <v>0</v>
      </c>
      <c r="AD19" s="11">
        <f>SUMIFS('[1]Исходные данные'!$I$2:$I$606,'[1]Исходные данные'!$D$2:$D$606,"БМТС",'[1]Исходные данные'!$F$2:$F$606,"11")</f>
        <v>0</v>
      </c>
      <c r="AE19" s="11">
        <f>SUMIFS('[1]Исходные данные'!$J$2:$J$606,'[1]Исходные данные'!$D$2:$D$606,"БМТС",'[1]Исходные данные'!$F$2:$F$606,"11")</f>
        <v>0</v>
      </c>
      <c r="AF19" s="11">
        <f>SUMIFS('[1]Исходные данные'!$I$2:$I$606,'[1]Исходные данные'!$D$2:$D$606,"УБиПКРС-1",'[1]Исходные данные'!$F$2:$F$606,"11")</f>
        <v>0</v>
      </c>
      <c r="AG19" s="11">
        <f>SUMIFS('[1]Исходные данные'!$J$2:$J$606,'[1]Исходные данные'!$D$2:$D$606,"УБиПКРС-1",'[1]Исходные данные'!$F$2:$F$606,"11")</f>
        <v>0</v>
      </c>
      <c r="AH19" s="11">
        <f>SUMIFS('[1]Исходные данные'!$I$2:$I$606,'[1]Исходные данные'!$D$2:$D$606,"УБиПКРС-2",'[1]Исходные данные'!$F$2:$F$606,"11")</f>
        <v>0</v>
      </c>
      <c r="AI19" s="11">
        <f>SUMIFS('[1]Исходные данные'!$J$2:$J$606,'[1]Исходные данные'!$D$2:$D$606,"УБиПКРС-2",'[1]Исходные данные'!$F$2:$F$606,"11")</f>
        <v>0</v>
      </c>
      <c r="AJ19" s="11">
        <f>SUMIFS('[1]Исходные данные'!$I$2:$I$606,'[1]Исходные данные'!$D$2:$D$606,"ДТТ-1",'[1]Исходные данные'!$F$2:$F$606,"11")</f>
        <v>0</v>
      </c>
      <c r="AK19" s="11">
        <f>SUMIFS('[1]Исходные данные'!$J$2:$J$606,'[1]Исходные данные'!$D$2:$D$606,"ДТТ-1",'[1]Исходные данные'!$F$2:$F$606,"11")</f>
        <v>0</v>
      </c>
      <c r="AL19" s="11">
        <f>SUMIFS('[1]Исходные данные'!$I$2:$I$606,'[1]Исходные данные'!$D$2:$D$606,"ЦНИПР",'[1]Исходные данные'!$F$2:$F$606,"11")</f>
        <v>0</v>
      </c>
      <c r="AM19" s="11">
        <f>SUMIFS('[1]Исходные данные'!$J$2:$J$606,'[1]Исходные данные'!$D$2:$D$606,"ЦНИПР",'[1]Исходные данные'!$F$2:$F$606,"11")</f>
        <v>0</v>
      </c>
      <c r="AN19" s="11">
        <f>SUMIFS('[1]Исходные данные'!$I$2:$I$606,'[1]Исходные данные'!$D$2:$D$606,"ОБиПКРС",'[1]Исходные данные'!$F$2:$F$606,"11")</f>
        <v>0</v>
      </c>
      <c r="AO19" s="11">
        <f>SUMIFS('[1]Исходные данные'!$J$2:$J$606,'[1]Исходные данные'!$D$2:$D$606,"ОБиПКРС",'[1]Исходные данные'!$F$2:$F$606,"11")</f>
        <v>0</v>
      </c>
      <c r="AP19" s="11">
        <f>SUMIFS('[1]Исходные данные'!$I$2:$I$606,'[1]Исходные данные'!$D$2:$D$606,"ЦАП",'[1]Исходные данные'!$F$2:$F$606,"11")</f>
        <v>0</v>
      </c>
      <c r="AQ19" s="11">
        <f>SUMIFS('[1]Исходные данные'!$J$2:$J$606,'[1]Исходные данные'!$D$2:$D$606,"ЦАП",'[1]Исходные данные'!$F$2:$F$606,"11")</f>
        <v>0</v>
      </c>
      <c r="AR19" s="11">
        <f>SUMIFS('[1]Исходные данные'!$I$2:$I$606,'[1]Исходные данные'!$D$2:$D$606,"ГООС",'[1]Исходные данные'!$F$2:$F$606,"11")</f>
        <v>0</v>
      </c>
      <c r="AS19" s="11">
        <f>SUMIFS('[1]Исходные данные'!$J$2:$J$606,'[1]Исходные данные'!$D$2:$D$606,"ГООС",'[1]Исходные данные'!$F$2:$F$606,"11")</f>
        <v>0</v>
      </c>
      <c r="AT19" s="11">
        <f>SUMIFS('[1]Исходные данные'!$I$2:$I$606,'[1]Исходные данные'!$D$2:$D$606,"Ақкетік",'[1]Исходные данные'!$F$2:$F$606,"11")</f>
        <v>0</v>
      </c>
      <c r="AU19" s="11">
        <f>SUMIFS('[1]Исходные данные'!$J$2:$J$606,'[1]Исходные данные'!$D$2:$D$606,"Ақкетік",'[1]Исходные данные'!$F$2:$F$606,"11")</f>
        <v>0</v>
      </c>
      <c r="AV19" s="11">
        <f>SUMIFS('[1]Исходные данные'!$I$2:$I$606,'[1]Исходные данные'!$D$2:$D$606,"Нейрон",'[1]Исходные данные'!$F$2:$F$606,"11")</f>
        <v>4</v>
      </c>
      <c r="AW19" s="11">
        <f>SUMIFS('[1]Исходные данные'!$J$2:$J$606,'[1]Исходные данные'!$D$2:$D$606,"Нейрон",'[1]Исходные данные'!$F$2:$F$606,"11")</f>
        <v>3</v>
      </c>
      <c r="AX19" s="11">
        <f>SUMIFS('[1]Исходные данные'!$I$2:$I$606,'[1]Исходные данные'!$D$2:$D$606,"Бурение",'[1]Исходные данные'!$F$2:$F$606,"11")</f>
        <v>0</v>
      </c>
      <c r="AY19" s="11">
        <f>SUMIFS('[1]Исходные данные'!$J$2:$J$606,'[1]Исходные данные'!$D$2:$D$606,"Бурение",'[1]Исходные данные'!$F$2:$F$606,"11")</f>
        <v>0</v>
      </c>
      <c r="AZ19" s="11">
        <f>SUMIFS('[1]Исходные данные'!$I$2:$I$606,'[1]Исходные данные'!$D$2:$D$606,"ЦТВС",'[1]Исходные данные'!$F$2:$F$606,"11")</f>
        <v>0</v>
      </c>
      <c r="BA19" s="11">
        <f>SUMIFS('[1]Исходные данные'!$J$2:$J$606,'[1]Исходные данные'!$D$2:$D$606,"ЦТВС",'[1]Исходные данные'!$F$2:$F$606,"11")</f>
        <v>0</v>
      </c>
      <c r="BB19" s="11">
        <f>SUMIFS('[1]Исходные данные'!$I$2:$I$606,'[1]Исходные данные'!$D$2:$D$606,"ТБ",'[1]Исходные данные'!$F$2:$F$606,"11")</f>
        <v>0</v>
      </c>
      <c r="BC19" s="11">
        <f>SUMIFS('[1]Исходные данные'!$J$2:$J$606,'[1]Исходные данные'!$D$2:$D$606,"ТБ",'[1]Исходные данные'!$F$2:$F$606,"11")</f>
        <v>0</v>
      </c>
      <c r="BD19" s="11">
        <f>SUMIFS('[1]Исходные данные'!$I$2:$I$606,'[1]Исходные данные'!$D$2:$D$606,"ОТДН",'[1]Исходные данные'!$F$2:$F$606,"11")</f>
        <v>0</v>
      </c>
      <c r="BE19" s="11">
        <f>SUMIFS('[1]Исходные данные'!$J$2:$J$606,'[1]Исходные данные'!$D$2:$D$606,"ОТДН",'[1]Исходные данные'!$F$2:$F$606,"11")</f>
        <v>0</v>
      </c>
      <c r="BF19" s="11">
        <f>SUMIFS('[1]Исходные данные'!$I$2:$I$606,'[1]Исходные данные'!$D$2:$D$606,"ПЧ-Семсер",'[1]Исходные данные'!$F$2:$F$606,"11")</f>
        <v>0</v>
      </c>
      <c r="BG19" s="11">
        <f>SUMIFS('[1]Исходные данные'!$J$2:$J$606,'[1]Исходные данные'!$D$2:$D$606,"ПЧ-Семсер",'[1]Исходные данные'!$F$2:$F$606,"11")</f>
        <v>0</v>
      </c>
      <c r="BH19" s="11">
        <f>SUMIFS('[1]Исходные данные'!$I$2:$I$606,'[1]Исходные данные'!$D$2:$D$606,"ПРЦЭО(2)",'[1]Исходные данные'!$F$2:$F$606,"11")</f>
        <v>0</v>
      </c>
      <c r="BI19" s="11">
        <f>SUMIFS('[1]Исходные данные'!$J$2:$J$606,'[1]Исходные данные'!$D$2:$D$606,"ПРЦЭО(2)",'[1]Исходные данные'!$F$2:$F$606,"11")</f>
        <v>0</v>
      </c>
      <c r="BJ19" s="11">
        <f>SUMIFS('[1]Исходные данные'!$I$2:$I$606,'[1]Исходные данные'!$D$2:$D$606,"БД",'[1]Исходные данные'!$F$2:$F$606,"11")</f>
        <v>0</v>
      </c>
      <c r="BK19" s="11">
        <f>SUMIFS('[1]Исходные данные'!$J$2:$J$606,'[1]Исходные данные'!$D$2:$D$606,"БД",'[1]Исходные данные'!$F$2:$F$606,"11")</f>
        <v>0</v>
      </c>
      <c r="BL19" s="11">
        <f>SUMIFS('[1]Исходные данные'!$I$2:$I$606,'[1]Исходные данные'!$D$2:$D$606,"ОГиР",'[1]Исходные данные'!$F$2:$F$606,"11")</f>
        <v>0</v>
      </c>
      <c r="BM19" s="11">
        <f>SUMIFS('[1]Исходные данные'!$J$2:$J$606,'[1]Исходные данные'!$D$2:$D$606,"ОГиР",'[1]Исходные данные'!$F$2:$F$606,"11")</f>
        <v>0</v>
      </c>
      <c r="BN19" s="11">
        <f>SUMIFS('[1]Исходные данные'!$I$2:$I$606,'[1]Исходные данные'!$D$2:$D$606,"ГСРиВК",'[1]Исходные данные'!$F$2:$F$606,"11")</f>
        <v>0</v>
      </c>
      <c r="BO19" s="11">
        <f>SUMIFS('[1]Исходные данные'!$J$2:$J$606,'[1]Исходные данные'!$D$2:$D$606,"ГСРиВК",'[1]Исходные данные'!$F$2:$F$606,"11")</f>
        <v>0</v>
      </c>
      <c r="BP19" s="11">
        <f>SUMIFS('[1]Исходные данные'!$I$2:$I$606,'[1]Исходные данные'!$D$2:$D$606,"МПГУ",'[1]Исходные данные'!$F$2:$F$606,"11")</f>
        <v>0</v>
      </c>
      <c r="BQ19" s="11">
        <f>SUMIFS('[1]Исходные данные'!$J$2:$J$606,'[1]Исходные данные'!$D$2:$D$606,"МПГУ",'[1]Исходные данные'!$F$2:$F$606,"11")</f>
        <v>0</v>
      </c>
      <c r="BR19" s="11">
        <f>SUMIFS('[1]Исходные данные'!$I$2:$I$606,'[1]Исходные данные'!$D$2:$D$606,"БПО 2",'[1]Исходные данные'!$F$2:$F$606,"11")</f>
        <v>0</v>
      </c>
      <c r="BS19" s="11">
        <f>SUMIFS('[1]Исходные данные'!$J$2:$J$606,'[1]Исходные данные'!$D$2:$D$606,"БПО 2",'[1]Исходные данные'!$F$2:$F$606,"11")</f>
        <v>0</v>
      </c>
      <c r="BT19" s="11">
        <f>SUMIFS('[1]Исходные данные'!$I$2:$I$606,'[1]Исходные данные'!$D$2:$D$606,"ЛД",'[1]Исходные данные'!$F$2:$F$606,"11")</f>
        <v>0</v>
      </c>
      <c r="BU19" s="11">
        <f>SUMIFS('[1]Исходные данные'!$J$2:$J$606,'[1]Исходные данные'!$D$2:$D$606,"ЛД",'[1]Исходные данные'!$F$2:$F$606,"11")</f>
        <v>0</v>
      </c>
      <c r="BV19" s="11">
        <f>SUMIFS('[1]Исходные данные'!$I$2:$I$606,'[1]Исходные данные'!$D$2:$D$606,"Отделкадр",'[1]Исходные данные'!$F$2:$F$606,"11")</f>
        <v>0</v>
      </c>
      <c r="BW19" s="11">
        <f>SUMIFS('[1]Исходные данные'!$J$2:$J$606,'[1]Исходные данные'!$D$2:$D$606,"Отделкадр",'[1]Исходные данные'!$F$2:$F$606,"11")</f>
        <v>0</v>
      </c>
      <c r="BX19" s="11">
        <f>SUMIFS('[1]Исходные данные'!$I$2:$I$606,'[1]Исходные данные'!$D$2:$D$606,"ЦИТС.",'[1]Исходные данные'!$F$2:$F$606,"11")</f>
        <v>0</v>
      </c>
      <c r="BY19" s="11">
        <f>SUMIFS('[1]Исходные данные'!$J$2:$J$606,'[1]Исходные данные'!$D$2:$D$606,"ЦИТС.",'[1]Исходные данные'!$F$2:$F$606,"11")</f>
        <v>0</v>
      </c>
      <c r="BZ19" s="11">
        <f>SUMIFS('[1]Исходные данные'!$I$2:$I$606,'[1]Исходные данные'!$D$2:$D$606,"ОБО",'[1]Исходные данные'!$F$2:$F$606,"11")</f>
        <v>0</v>
      </c>
      <c r="CA19" s="11">
        <f>SUMIFS('[1]Исходные данные'!$J$2:$J$606,'[1]Исходные данные'!$D$2:$D$606,"ОБО",'[1]Исходные данные'!$F$2:$F$606,"11")</f>
        <v>0</v>
      </c>
      <c r="CB19" s="11">
        <f>SUMIFS('[1]Исходные данные'!$I$2:$I$606,'[1]Исходные данные'!$D$2:$D$606,"УЖЭО",'[1]Исходные данные'!$F$2:$F$606,"11")</f>
        <v>0</v>
      </c>
      <c r="CC19" s="11">
        <f>SUMIFS('[1]Исходные данные'!$J$2:$J$606,'[1]Исходные данные'!$D$2:$D$606,"УЖЭО",'[1]Исходные данные'!$F$2:$F$606,"11")</f>
        <v>0</v>
      </c>
      <c r="CD19" s="11">
        <f>SUMIFS('[1]Исходные данные'!$I$2:$I$606,'[1]Исходные данные'!$D$2:$D$606,"Мухтар/Хамит",'[1]Исходные данные'!$F$2:$F$606,"11")</f>
        <v>0</v>
      </c>
      <c r="CE19" s="11">
        <f>SUMIFS('[1]Исходные данные'!$J$2:$J$606,'[1]Исходные данные'!$D$2:$D$606,"Мухтар/Хамит",'[1]Исходные данные'!$F$2:$F$606,"11")</f>
        <v>0</v>
      </c>
      <c r="CF19" s="11">
        <f>SUMIFS('[1]Исходные данные'!$I$2:$I$606,'[1]Исходные данные'!$D$2:$D$606,"ОБО-    СБ",'[1]Исходные данные'!$F$2:$F$606,"11")</f>
        <v>0</v>
      </c>
      <c r="CG19" s="11">
        <f>SUMIFS('[1]Исходные данные'!$J$2:$J$606,'[1]Исходные данные'!$D$2:$D$606,"ОБО-    СБ",'[1]Исходные данные'!$F$2:$F$606,"11")</f>
        <v>0</v>
      </c>
      <c r="CH19" s="11">
        <f>SUMIFS('[1]Исходные данные'!$I$2:$I$606,'[1]Исходные данные'!$D$2:$D$606,"РМУ 2",'[1]Исходные данные'!$F$2:$F$606,"11")</f>
        <v>0</v>
      </c>
      <c r="CI19" s="11">
        <f>SUMIFS('[1]Исходные данные'!$J$2:$J$606,'[1]Исходные данные'!$D$2:$D$606,"РМУ 2",'[1]Исходные данные'!$F$2:$F$606,"11")</f>
        <v>0</v>
      </c>
      <c r="CJ19" s="11">
        <f>SUMIFS('[1]Исходные данные'!$I$2:$I$606,'[1]Исходные данные'!$D$2:$D$606,"ГАПиИТ",'[1]Исходные данные'!$F$2:$F$606,"11")</f>
        <v>0</v>
      </c>
      <c r="CK19" s="11">
        <f>SUMIFS('[1]Исходные данные'!$J$2:$J$606,'[1]Исходные данные'!$D$2:$D$606,"ГАПиИТ",'[1]Исходные данные'!$F$2:$F$606,"11")</f>
        <v>0</v>
      </c>
      <c r="CL19" s="11">
        <f>SUMIFS('[1]Исходные данные'!$I$2:$I$606,'[1]Исходные данные'!$D$2:$D$606,"ОМ",'[1]Исходные данные'!$F$2:$F$606,"11")</f>
        <v>0</v>
      </c>
      <c r="CM19" s="11">
        <f>SUMIFS('[1]Исходные данные'!$J$2:$J$606,'[1]Исходные данные'!$D$2:$D$606,"ОМ",'[1]Исходные данные'!$F$2:$F$606,"11")</f>
        <v>0</v>
      </c>
      <c r="CN19" s="11">
        <f>SUMIFS('[1]Исходные данные'!$I$2:$I$606,'[1]Исходные данные'!$D$2:$D$606,"оппоIR",'[1]Исходные данные'!$F$2:$F$606,"11")</f>
        <v>0</v>
      </c>
      <c r="CO19" s="11">
        <f>SUMIFS('[1]Исходные данные'!$J$2:$J$606,'[1]Исходные данные'!$D$2:$D$606,"оппоIR",'[1]Исходные данные'!$F$2:$F$606,"11")</f>
        <v>0</v>
      </c>
      <c r="CP19" s="11">
        <f>SUMIFS('[1]Исходные данные'!$I$2:$I$606,'[1]Исходные данные'!$D$2:$D$606,"Маркшейдер",'[1]Исходные данные'!$F$2:$F$606,"11")</f>
        <v>0</v>
      </c>
      <c r="CQ19" s="11">
        <f>SUMIFS('[1]Исходные данные'!$J$2:$J$606,'[1]Исходные данные'!$D$2:$D$606,"Маркшейдер",'[1]Исходные данные'!$F$2:$F$606,"11")</f>
        <v>0</v>
      </c>
      <c r="CR19" s="11">
        <f>SUMIFS('[1]Исходные данные'!$I$2:$I$606,'[1]Исходные данные'!$D$2:$D$606,"ПСО",'[1]Исходные данные'!$F$2:$F$606,"11")</f>
        <v>0</v>
      </c>
      <c r="CS19" s="11">
        <f>SUMIFS('[1]Исходные данные'!$J$2:$J$606,'[1]Исходные данные'!$D$2:$D$606,"ПСО",'[1]Исходные данные'!$F$2:$F$606,"11")</f>
        <v>0</v>
      </c>
    </row>
    <row r="20" spans="1:97" x14ac:dyDescent="0.25">
      <c r="A20" s="13" t="s">
        <v>85</v>
      </c>
      <c r="B20" s="11" t="s">
        <v>86</v>
      </c>
      <c r="C20" s="10">
        <f t="shared" si="0"/>
        <v>6</v>
      </c>
      <c r="D20" s="10">
        <f t="shared" si="1"/>
        <v>3</v>
      </c>
      <c r="E20" s="10">
        <f t="shared" si="1"/>
        <v>3</v>
      </c>
      <c r="F20" s="11">
        <f>SUMIFS('[1]Исходные данные'!$I$2:$I$606,'[1]Исходные данные'!$D$2:$D$606,"ЦДН-1",'[1]Исходные данные'!$F$2:$F$606,"44")</f>
        <v>0</v>
      </c>
      <c r="G20" s="11">
        <f>SUMIFS('[1]Исходные данные'!$J$2:$J$606,'[1]Исходные данные'!$D$2:$D$606,"ЦДН-1",'[1]Исходные данные'!$F$2:$F$606,"44")</f>
        <v>0</v>
      </c>
      <c r="H20" s="11">
        <f>SUMIFS('[1]Исходные данные'!$I$2:$I$606,'[1]Исходные данные'!$D$2:$D$606,"ЦДН-2",'[1]Исходные данные'!$F$2:$F$606,"44")</f>
        <v>0</v>
      </c>
      <c r="I20" s="11">
        <f>SUMIFS('[1]Исходные данные'!$J$2:$J$606,'[1]Исходные данные'!$D$2:$D$606,"ЦДН-2",'[1]Исходные данные'!$F$2:$F$606,"44")</f>
        <v>0</v>
      </c>
      <c r="J20" s="11">
        <f>SUMIFS('[1]Исходные данные'!$I$2:$I$606,'[1]Исходные данные'!$D$2:$D$606,"ЦДН-3",'[1]Исходные данные'!$F$2:$F$606,"44")</f>
        <v>0</v>
      </c>
      <c r="K20" s="11">
        <f>SUMIFS('[1]Исходные данные'!$J$2:$J$606,'[1]Исходные данные'!$D$2:$D$606,"ЦДН-3",'[1]Исходные данные'!$F$2:$F$606,"44")</f>
        <v>0</v>
      </c>
      <c r="L20" s="11">
        <f>SUMIFS('[1]Исходные данные'!$I$2:$I$606,'[1]Исходные данные'!$D$2:$D$606,"ЦППН",'[1]Исходные данные'!$F$2:$F$606,"44")</f>
        <v>0</v>
      </c>
      <c r="M20" s="11">
        <f>SUMIFS('[1]Исходные данные'!$J$2:$J$606,'[1]Исходные данные'!$D$2:$D$606,"ЦППН",'[1]Исходные данные'!$F$2:$F$606,"44")</f>
        <v>0</v>
      </c>
      <c r="N20" s="11">
        <f>SUMIFS('[1]Исходные данные'!$I$2:$I$606,'[1]Исходные данные'!$D$2:$D$606,"ЦППД",'[1]Исходные данные'!$F$2:$F$606,"44")</f>
        <v>0</v>
      </c>
      <c r="O20" s="11">
        <f>SUMIFS('[1]Исходные данные'!$J$2:$J$606,'[1]Исходные данные'!$D$2:$D$606,"ЦППД",'[1]Исходные данные'!$F$2:$F$606,"44")</f>
        <v>0</v>
      </c>
      <c r="P20" s="11">
        <f>SUMIFS('[1]Исходные данные'!$I$2:$I$606,'[1]Исходные данные'!$D$2:$D$606,"ЭЦ",'[1]Исходные данные'!$F$2:$F$606,"44")</f>
        <v>0</v>
      </c>
      <c r="Q20" s="11">
        <f>SUMIFS('[1]Исходные данные'!$J$2:$J$606,'[1]Исходные данные'!$D$2:$D$606,"ЭЦ",'[1]Исходные данные'!$F$2:$F$606,"44")</f>
        <v>0</v>
      </c>
      <c r="R20" s="11">
        <f>SUMIFS('[1]Исходные данные'!$I$2:$I$606,'[1]Исходные данные'!$D$2:$D$606,"ОКС",'[1]Исходные данные'!$F$2:$F$606,"44")</f>
        <v>0</v>
      </c>
      <c r="S20" s="11">
        <f>SUMIFS('[1]Исходные данные'!$J$2:$J$606,'[1]Исходные данные'!$D$2:$D$606,"ОКС",'[1]Исходные данные'!$F$2:$F$606,"44")</f>
        <v>0</v>
      </c>
      <c r="T20" s="11">
        <f>SUMIFS('[1]Исходные данные'!$I$2:$I$606,'[1]Исходные данные'!$D$2:$D$606,"РСЦ",'[1]Исходные данные'!$F$2:$F$606,"44")</f>
        <v>0</v>
      </c>
      <c r="U20" s="11">
        <f>SUMIFS('[1]Исходные данные'!$J$2:$J$606,'[1]Исходные данные'!$D$2:$D$606,"РСЦ",'[1]Исходные данные'!$F$2:$F$606,"44")</f>
        <v>0</v>
      </c>
      <c r="V20" s="11">
        <f>SUMIFS('[1]Исходные данные'!$I$2:$I$606,'[1]Исходные данные'!$D$2:$D$606,"ЦИТС",'[1]Исходные данные'!$F$2:$F$606,"44")</f>
        <v>0</v>
      </c>
      <c r="W20" s="11">
        <f>SUMIFS('[1]Исходные данные'!$J$2:$J$606,'[1]Исходные данные'!$D$2:$D$606,"ЦИТС",'[1]Исходные данные'!$F$2:$F$606,"44")</f>
        <v>0</v>
      </c>
      <c r="X20" s="11">
        <f>SUMIFS('[1]Исходные данные'!$I$2:$I$606,'[1]Исходные данные'!$D$2:$D$606,"ПРЦЭО",'[1]Исходные данные'!$F$2:$F$606,"44")</f>
        <v>0</v>
      </c>
      <c r="Y20" s="11">
        <f>SUMIFS('[1]Исходные данные'!$J$2:$J$606,'[1]Исходные данные'!$D$2:$D$606,"ПРЦЭО",'[1]Исходные данные'!$F$2:$F$606,"44")</f>
        <v>0</v>
      </c>
      <c r="Z20" s="11">
        <f>SUMIFS('[1]Исходные данные'!$I$2:$I$606,'[1]Исходные данные'!$D$2:$D$606,"ГЦ",'[1]Исходные данные'!$F$2:$F$606,"44")</f>
        <v>0</v>
      </c>
      <c r="AA20" s="11">
        <f>SUMIFS('[1]Исходные данные'!$J$2:$J$606,'[1]Исходные данные'!$D$2:$D$606,"ГЦ",'[1]Исходные данные'!$F$2:$F$606,"44")</f>
        <v>0</v>
      </c>
      <c r="AB20" s="11">
        <f>SUMIFS('[1]Исходные данные'!$I$2:$I$606,'[1]Исходные данные'!$D$2:$D$606,"ЦПП",'[1]Исходные данные'!$F$2:$F$606,"44")</f>
        <v>0</v>
      </c>
      <c r="AC20" s="11">
        <f>SUMIFS('[1]Исходные данные'!$J$2:$J$606,'[1]Исходные данные'!$D$2:$D$606,"ЦПП",'[1]Исходные данные'!$F$2:$F$606,"44")</f>
        <v>0</v>
      </c>
      <c r="AD20" s="11">
        <f>SUMIFS('[1]Исходные данные'!$I$2:$I$606,'[1]Исходные данные'!$D$2:$D$606,"БМТС",'[1]Исходные данные'!$F$2:$F$606,"44")</f>
        <v>0</v>
      </c>
      <c r="AE20" s="11">
        <f>SUMIFS('[1]Исходные данные'!$J$2:$J$606,'[1]Исходные данные'!$D$2:$D$606,"БМТС",'[1]Исходные данные'!$F$2:$F$606,"44")</f>
        <v>0</v>
      </c>
      <c r="AF20" s="11">
        <f>SUMIFS('[1]Исходные данные'!$I$2:$I$606,'[1]Исходные данные'!$D$2:$D$606,"УБиПКРС-1",'[1]Исходные данные'!$F$2:$F$606,"44")</f>
        <v>2</v>
      </c>
      <c r="AG20" s="11">
        <f>SUMIFS('[1]Исходные данные'!$J$2:$J$606,'[1]Исходные данные'!$D$2:$D$606,"УБиПКРС-1",'[1]Исходные данные'!$F$2:$F$606,"44")</f>
        <v>2</v>
      </c>
      <c r="AH20" s="11">
        <f>SUMIFS('[1]Исходные данные'!$I$2:$I$606,'[1]Исходные данные'!$D$2:$D$606,"УБиПКРС-2",'[1]Исходные данные'!$F$2:$F$606,"44")</f>
        <v>1</v>
      </c>
      <c r="AI20" s="11">
        <f>SUMIFS('[1]Исходные данные'!$J$2:$J$606,'[1]Исходные данные'!$D$2:$D$606,"УБиПКРС-2",'[1]Исходные данные'!$F$2:$F$606,"44")</f>
        <v>1</v>
      </c>
      <c r="AJ20" s="11">
        <f>SUMIFS('[1]Исходные данные'!$I$2:$I$606,'[1]Исходные данные'!$D$2:$D$606,"ДТТ-1",'[1]Исходные данные'!$F$2:$F$606,"44")</f>
        <v>0</v>
      </c>
      <c r="AK20" s="11">
        <f>SUMIFS('[1]Исходные данные'!$J$2:$J$606,'[1]Исходные данные'!$D$2:$D$606,"ДТТ-1",'[1]Исходные данные'!$F$2:$F$606,"44")</f>
        <v>0</v>
      </c>
      <c r="AL20" s="11">
        <f>SUMIFS('[1]Исходные данные'!$I$2:$I$606,'[1]Исходные данные'!$D$2:$D$606,"ЦНИПР",'[1]Исходные данные'!$F$2:$F$606,"44")</f>
        <v>0</v>
      </c>
      <c r="AM20" s="11">
        <f>SUMIFS('[1]Исходные данные'!$J$2:$J$606,'[1]Исходные данные'!$D$2:$D$606,"ЦНИПР",'[1]Исходные данные'!$F$2:$F$606,"44")</f>
        <v>0</v>
      </c>
      <c r="AN20" s="11">
        <f>SUMIFS('[1]Исходные данные'!$I$2:$I$606,'[1]Исходные данные'!$D$2:$D$606,"ОБиПКРС",'[1]Исходные данные'!$F$2:$F$606,"44")</f>
        <v>0</v>
      </c>
      <c r="AO20" s="11">
        <f>SUMIFS('[1]Исходные данные'!$J$2:$J$606,'[1]Исходные данные'!$D$2:$D$606,"ОБиПКРС",'[1]Исходные данные'!$F$2:$F$606,"44")</f>
        <v>0</v>
      </c>
      <c r="AP20" s="11">
        <f>SUMIFS('[1]Исходные данные'!$I$2:$I$606,'[1]Исходные данные'!$D$2:$D$606,"ЦАП",'[1]Исходные данные'!$F$2:$F$606,"44")</f>
        <v>0</v>
      </c>
      <c r="AQ20" s="11">
        <f>SUMIFS('[1]Исходные данные'!$J$2:$J$606,'[1]Исходные данные'!$D$2:$D$606,"ЦАП",'[1]Исходные данные'!$F$2:$F$606,"44")</f>
        <v>0</v>
      </c>
      <c r="AR20" s="11">
        <f>SUMIFS('[1]Исходные данные'!$I$2:$I$606,'[1]Исходные данные'!$D$2:$D$606,"ГООС",'[1]Исходные данные'!$F$2:$F$606,"44")</f>
        <v>0</v>
      </c>
      <c r="AS20" s="11">
        <f>SUMIFS('[1]Исходные данные'!$J$2:$J$606,'[1]Исходные данные'!$D$2:$D$606,"ГООС",'[1]Исходные данные'!$F$2:$F$606,"44")</f>
        <v>0</v>
      </c>
      <c r="AT20" s="11">
        <f>SUMIFS('[1]Исходные данные'!$I$2:$I$606,'[1]Исходные данные'!$D$2:$D$606,"Ақкетік",'[1]Исходные данные'!$F$2:$F$606,"44")</f>
        <v>0</v>
      </c>
      <c r="AU20" s="11">
        <f>SUMIFS('[1]Исходные данные'!$J$2:$J$606,'[1]Исходные данные'!$D$2:$D$606,"Ақкетік",'[1]Исходные данные'!$F$2:$F$606,"44")</f>
        <v>0</v>
      </c>
      <c r="AV20" s="11">
        <f>SUMIFS('[1]Исходные данные'!$I$2:$I$606,'[1]Исходные данные'!$D$2:$D$606,"Нейрон",'[1]Исходные данные'!$F$2:$F$606,"44")</f>
        <v>0</v>
      </c>
      <c r="AW20" s="11">
        <f>SUMIFS('[1]Исходные данные'!$J$2:$J$606,'[1]Исходные данные'!$D$2:$D$606,"Нейрон",'[1]Исходные данные'!$F$2:$F$606,"44")</f>
        <v>0</v>
      </c>
      <c r="AX20" s="11">
        <f>SUMIFS('[1]Исходные данные'!$I$2:$I$606,'[1]Исходные данные'!$D$2:$D$606,"Бурение",'[1]Исходные данные'!$F$2:$F$606,"44")</f>
        <v>0</v>
      </c>
      <c r="AY20" s="11">
        <f>SUMIFS('[1]Исходные данные'!$J$2:$J$606,'[1]Исходные данные'!$D$2:$D$606,"Бурение",'[1]Исходные данные'!$F$2:$F$606,"44")</f>
        <v>0</v>
      </c>
      <c r="AZ20" s="11">
        <f>SUMIFS('[1]Исходные данные'!$I$2:$I$606,'[1]Исходные данные'!$D$2:$D$606,"ЦТВС",'[1]Исходные данные'!$F$2:$F$606,"44")</f>
        <v>0</v>
      </c>
      <c r="BA20" s="11">
        <f>SUMIFS('[1]Исходные данные'!$J$2:$J$606,'[1]Исходные данные'!$D$2:$D$606,"ЦТВС",'[1]Исходные данные'!$F$2:$F$606,"44")</f>
        <v>0</v>
      </c>
      <c r="BB20" s="11">
        <f>SUMIFS('[1]Исходные данные'!$I$2:$I$606,'[1]Исходные данные'!$D$2:$D$606,"ТБ",'[1]Исходные данные'!$F$2:$F$606,"44")</f>
        <v>0</v>
      </c>
      <c r="BC20" s="11">
        <f>SUMIFS('[1]Исходные данные'!$J$2:$J$606,'[1]Исходные данные'!$D$2:$D$606,"ТБ",'[1]Исходные данные'!$F$2:$F$606,"44")</f>
        <v>0</v>
      </c>
      <c r="BD20" s="11">
        <f>SUMIFS('[1]Исходные данные'!$I$2:$I$606,'[1]Исходные данные'!$D$2:$D$606,"ОТДН",'[1]Исходные данные'!$F$2:$F$606,"44")</f>
        <v>0</v>
      </c>
      <c r="BE20" s="11">
        <f>SUMIFS('[1]Исходные данные'!$J$2:$J$606,'[1]Исходные данные'!$D$2:$D$606,"ОТДН",'[1]Исходные данные'!$F$2:$F$606,"44")</f>
        <v>0</v>
      </c>
      <c r="BF20" s="11">
        <f>SUMIFS('[1]Исходные данные'!$I$2:$I$606,'[1]Исходные данные'!$D$2:$D$606,"ПЧ-Семсер",'[1]Исходные данные'!$F$2:$F$606,"44")</f>
        <v>0</v>
      </c>
      <c r="BG20" s="11">
        <f>SUMIFS('[1]Исходные данные'!$J$2:$J$606,'[1]Исходные данные'!$D$2:$D$606,"ПЧ-Семсер",'[1]Исходные данные'!$F$2:$F$606,"44")</f>
        <v>0</v>
      </c>
      <c r="BH20" s="11">
        <f>SUMIFS('[1]Исходные данные'!$I$2:$I$606,'[1]Исходные данные'!$D$2:$D$606,"ПРЦЭО(2)",'[1]Исходные данные'!$F$2:$F$606,"44")</f>
        <v>0</v>
      </c>
      <c r="BI20" s="11">
        <f>SUMIFS('[1]Исходные данные'!$J$2:$J$606,'[1]Исходные данные'!$D$2:$D$606,"ПРЦЭО(2)",'[1]Исходные данные'!$F$2:$F$606,"44")</f>
        <v>0</v>
      </c>
      <c r="BJ20" s="11">
        <f>SUMIFS('[1]Исходные данные'!$I$2:$I$606,'[1]Исходные данные'!$D$2:$D$606,"БД",'[1]Исходные данные'!$F$2:$F$606,"44")</f>
        <v>0</v>
      </c>
      <c r="BK20" s="11">
        <f>SUMIFS('[1]Исходные данные'!$J$2:$J$606,'[1]Исходные данные'!$D$2:$D$606,"БД",'[1]Исходные данные'!$F$2:$F$606,"44")</f>
        <v>0</v>
      </c>
      <c r="BL20" s="11">
        <f>SUMIFS('[1]Исходные данные'!$I$2:$I$606,'[1]Исходные данные'!$D$2:$D$606,"ОГиР",'[1]Исходные данные'!$F$2:$F$606,"44")</f>
        <v>0</v>
      </c>
      <c r="BM20" s="11">
        <f>SUMIFS('[1]Исходные данные'!$J$2:$J$606,'[1]Исходные данные'!$D$2:$D$606,"ОГиР",'[1]Исходные данные'!$F$2:$F$606,"44")</f>
        <v>0</v>
      </c>
      <c r="BN20" s="11">
        <f>SUMIFS('[1]Исходные данные'!$I$2:$I$606,'[1]Исходные данные'!$D$2:$D$606,"ГСРиВК",'[1]Исходные данные'!$F$2:$F$606,"44")</f>
        <v>0</v>
      </c>
      <c r="BO20" s="11">
        <f>SUMIFS('[1]Исходные данные'!$J$2:$J$606,'[1]Исходные данные'!$D$2:$D$606,"ГСРиВК",'[1]Исходные данные'!$F$2:$F$606,"44")</f>
        <v>0</v>
      </c>
      <c r="BP20" s="11">
        <f>SUMIFS('[1]Исходные данные'!$I$2:$I$606,'[1]Исходные данные'!$D$2:$D$606,"МПГУ",'[1]Исходные данные'!$F$2:$F$606,"44")</f>
        <v>0</v>
      </c>
      <c r="BQ20" s="11">
        <f>SUMIFS('[1]Исходные данные'!$J$2:$J$606,'[1]Исходные данные'!$D$2:$D$606,"МПГУ",'[1]Исходные данные'!$F$2:$F$606,"44")</f>
        <v>0</v>
      </c>
      <c r="BR20" s="11">
        <f>SUMIFS('[1]Исходные данные'!$I$2:$I$606,'[1]Исходные данные'!$D$2:$D$606,"БПО 2",'[1]Исходные данные'!$F$2:$F$606,"44")</f>
        <v>0</v>
      </c>
      <c r="BS20" s="11">
        <f>SUMIFS('[1]Исходные данные'!$J$2:$J$606,'[1]Исходные данные'!$D$2:$D$606,"БПО 2",'[1]Исходные данные'!$F$2:$F$606,"44")</f>
        <v>0</v>
      </c>
      <c r="BT20" s="11">
        <f>SUMIFS('[1]Исходные данные'!$I$2:$I$606,'[1]Исходные данные'!$D$2:$D$606,"ЛД",'[1]Исходные данные'!$F$2:$F$606,"44")</f>
        <v>0</v>
      </c>
      <c r="BU20" s="11">
        <f>SUMIFS('[1]Исходные данные'!$J$2:$J$606,'[1]Исходные данные'!$D$2:$D$606,"ЛД",'[1]Исходные данные'!$F$2:$F$606,"44")</f>
        <v>0</v>
      </c>
      <c r="BV20" s="11">
        <f>SUMIFS('[1]Исходные данные'!$I$2:$I$606,'[1]Исходные данные'!$D$2:$D$606,"Отделкадр",'[1]Исходные данные'!$F$2:$F$606,"44")</f>
        <v>0</v>
      </c>
      <c r="BW20" s="11">
        <f>SUMIFS('[1]Исходные данные'!$J$2:$J$606,'[1]Исходные данные'!$D$2:$D$606,"Отделкадр",'[1]Исходные данные'!$F$2:$F$606,"44")</f>
        <v>0</v>
      </c>
      <c r="BX20" s="11">
        <f>SUMIFS('[1]Исходные данные'!$I$2:$I$606,'[1]Исходные данные'!$D$2:$D$606,"ЦИТС.",'[1]Исходные данные'!$F$2:$F$606,"44")</f>
        <v>0</v>
      </c>
      <c r="BY20" s="11">
        <f>SUMIFS('[1]Исходные данные'!$J$2:$J$606,'[1]Исходные данные'!$D$2:$D$606,"ЦИТС.",'[1]Исходные данные'!$F$2:$F$606,"44")</f>
        <v>0</v>
      </c>
      <c r="BZ20" s="11">
        <f>SUMIFS('[1]Исходные данные'!$I$2:$I$606,'[1]Исходные данные'!$D$2:$D$606,"ОБО",'[1]Исходные данные'!$F$2:$F$606,"44")</f>
        <v>0</v>
      </c>
      <c r="CA20" s="11">
        <f>SUMIFS('[1]Исходные данные'!$J$2:$J$606,'[1]Исходные данные'!$D$2:$D$606,"ОБО",'[1]Исходные данные'!$F$2:$F$606,"44")</f>
        <v>0</v>
      </c>
      <c r="CB20" s="11">
        <f>SUMIFS('[1]Исходные данные'!$I$2:$I$606,'[1]Исходные данные'!$D$2:$D$606,"УЖЭО",'[1]Исходные данные'!$F$2:$F$606,"44")</f>
        <v>0</v>
      </c>
      <c r="CC20" s="11">
        <f>SUMIFS('[1]Исходные данные'!$J$2:$J$606,'[1]Исходные данные'!$D$2:$D$606,"УЖЭО",'[1]Исходные данные'!$F$2:$F$606,"44")</f>
        <v>0</v>
      </c>
      <c r="CD20" s="11">
        <f>SUMIFS('[1]Исходные данные'!$I$2:$I$606,'[1]Исходные данные'!$D$2:$D$606,"Мухтар/Хамит",'[1]Исходные данные'!$F$2:$F$606,"44")</f>
        <v>0</v>
      </c>
      <c r="CE20" s="11">
        <f>SUMIFS('[1]Исходные данные'!$J$2:$J$606,'[1]Исходные данные'!$D$2:$D$606,"Мухтар/Хамит",'[1]Исходные данные'!$F$2:$F$606,"44")</f>
        <v>0</v>
      </c>
      <c r="CF20" s="11">
        <f>SUMIFS('[1]Исходные данные'!$I$2:$I$606,'[1]Исходные данные'!$D$2:$D$606,"ОБО-    СБ",'[1]Исходные данные'!$F$2:$F$606,"44")</f>
        <v>0</v>
      </c>
      <c r="CG20" s="11">
        <f>SUMIFS('[1]Исходные данные'!$J$2:$J$606,'[1]Исходные данные'!$D$2:$D$606,"ОБО-    СБ",'[1]Исходные данные'!$F$2:$F$606,"44")</f>
        <v>0</v>
      </c>
      <c r="CH20" s="11">
        <f>SUMIFS('[1]Исходные данные'!$I$2:$I$606,'[1]Исходные данные'!$D$2:$D$606,"РМУ 2",'[1]Исходные данные'!$F$2:$F$606,"44")</f>
        <v>0</v>
      </c>
      <c r="CI20" s="11">
        <f>SUMIFS('[1]Исходные данные'!$J$2:$J$606,'[1]Исходные данные'!$D$2:$D$606,"РМУ 2",'[1]Исходные данные'!$F$2:$F$606,"44")</f>
        <v>0</v>
      </c>
      <c r="CJ20" s="11">
        <f>SUMIFS('[1]Исходные данные'!$I$2:$I$606,'[1]Исходные данные'!$D$2:$D$606,"ГАПиИТ",'[1]Исходные данные'!$F$2:$F$606,"44")</f>
        <v>0</v>
      </c>
      <c r="CK20" s="11">
        <f>SUMIFS('[1]Исходные данные'!$J$2:$J$606,'[1]Исходные данные'!$D$2:$D$606,"ГАПиИТ",'[1]Исходные данные'!$F$2:$F$606,"44")</f>
        <v>0</v>
      </c>
      <c r="CL20" s="11">
        <f>SUMIFS('[1]Исходные данные'!$I$2:$I$606,'[1]Исходные данные'!$D$2:$D$606,"ОМ",'[1]Исходные данные'!$F$2:$F$606,"44")</f>
        <v>0</v>
      </c>
      <c r="CM20" s="11">
        <f>SUMIFS('[1]Исходные данные'!$J$2:$J$606,'[1]Исходные данные'!$D$2:$D$606,"ОМ",'[1]Исходные данные'!$F$2:$F$606,"44")</f>
        <v>0</v>
      </c>
      <c r="CN20" s="11">
        <f>SUMIFS('[1]Исходные данные'!$I$2:$I$606,'[1]Исходные данные'!$D$2:$D$606,"оппоIR",'[1]Исходные данные'!$F$2:$F$606,"44")</f>
        <v>0</v>
      </c>
      <c r="CO20" s="11">
        <f>SUMIFS('[1]Исходные данные'!$J$2:$J$606,'[1]Исходные данные'!$D$2:$D$606,"оппоIR",'[1]Исходные данные'!$F$2:$F$606,"44")</f>
        <v>0</v>
      </c>
      <c r="CP20" s="11">
        <f>SUMIFS('[1]Исходные данные'!$I$2:$I$606,'[1]Исходные данные'!$D$2:$D$606,"Маркшейдер",'[1]Исходные данные'!$F$2:$F$606,"44")</f>
        <v>0</v>
      </c>
      <c r="CQ20" s="11">
        <f>SUMIFS('[1]Исходные данные'!$J$2:$J$606,'[1]Исходные данные'!$D$2:$D$606,"Маркшейдер",'[1]Исходные данные'!$F$2:$F$606,"44")</f>
        <v>0</v>
      </c>
      <c r="CR20" s="11">
        <f>SUMIFS('[1]Исходные данные'!$I$2:$I$606,'[1]Исходные данные'!$D$2:$D$606,"ПСО",'[1]Исходные данные'!$F$2:$F$606,"44")</f>
        <v>0</v>
      </c>
      <c r="CS20" s="11">
        <f>SUMIFS('[1]Исходные данные'!$J$2:$J$606,'[1]Исходные данные'!$D$2:$D$606,"ПСО",'[1]Исходные данные'!$F$2:$F$606,"44")</f>
        <v>0</v>
      </c>
    </row>
    <row r="21" spans="1:97" x14ac:dyDescent="0.25">
      <c r="A21" s="13" t="s">
        <v>87</v>
      </c>
      <c r="B21" s="11" t="s">
        <v>88</v>
      </c>
      <c r="C21" s="10">
        <f t="shared" si="0"/>
        <v>5</v>
      </c>
      <c r="D21" s="10">
        <f t="shared" si="1"/>
        <v>4</v>
      </c>
      <c r="E21" s="10">
        <f t="shared" si="1"/>
        <v>1</v>
      </c>
      <c r="F21" s="11">
        <f>SUMIFS('[1]Исходные данные'!$I$2:$I$606,'[1]Исходные данные'!$D$2:$D$606,"ЦДН-1",'[1]Исходные данные'!$F$2:$F$606,"38")</f>
        <v>0</v>
      </c>
      <c r="G21" s="11">
        <f>SUMIFS('[1]Исходные данные'!$J$2:$J$606,'[1]Исходные данные'!$D$2:$D$606,"ЦДН-1",'[1]Исходные данные'!$F$2:$F$606,"38")</f>
        <v>1</v>
      </c>
      <c r="H21" s="11">
        <f>SUMIFS('[1]Исходные данные'!$I$2:$I$606,'[1]Исходные данные'!$D$2:$D$606,"ЦДН-2",'[1]Исходные данные'!$F$2:$F$606,"38")</f>
        <v>0</v>
      </c>
      <c r="I21" s="11">
        <f>SUMIFS('[1]Исходные данные'!$J$2:$J$606,'[1]Исходные данные'!$D$2:$D$606,"ЦДН-2",'[1]Исходные данные'!$F$2:$F$606,"38")</f>
        <v>0</v>
      </c>
      <c r="J21" s="11">
        <f>SUMIFS('[1]Исходные данные'!$I$2:$I$606,'[1]Исходные данные'!$D$2:$D$606,"ЦДН-3",'[1]Исходные данные'!$F$2:$F$606,"38")</f>
        <v>1</v>
      </c>
      <c r="K21" s="11">
        <f>SUMIFS('[1]Исходные данные'!$J$2:$J$606,'[1]Исходные данные'!$D$2:$D$606,"ЦДН-3",'[1]Исходные данные'!$F$2:$F$606,"38")</f>
        <v>0</v>
      </c>
      <c r="L21" s="11">
        <f>SUMIFS('[1]Исходные данные'!$I$2:$I$606,'[1]Исходные данные'!$D$2:$D$606,"ЦППН",'[1]Исходные данные'!$F$2:$F$606,"38")</f>
        <v>0</v>
      </c>
      <c r="M21" s="11">
        <f>SUMIFS('[1]Исходные данные'!$J$2:$J$606,'[1]Исходные данные'!$D$2:$D$606,"ЦППН",'[1]Исходные данные'!$F$2:$F$606,"38")</f>
        <v>0</v>
      </c>
      <c r="N21" s="11">
        <f>SUMIFS('[1]Исходные данные'!$I$2:$I$606,'[1]Исходные данные'!$D$2:$D$606,"ЦППД",'[1]Исходные данные'!$F$2:$F$606,"38")</f>
        <v>0</v>
      </c>
      <c r="O21" s="11">
        <f>SUMIFS('[1]Исходные данные'!$J$2:$J$606,'[1]Исходные данные'!$D$2:$D$606,"ЦППД",'[1]Исходные данные'!$F$2:$F$606,"38")</f>
        <v>0</v>
      </c>
      <c r="P21" s="11">
        <f>SUMIFS('[1]Исходные данные'!$I$2:$I$606,'[1]Исходные данные'!$D$2:$D$606,"ЭЦ",'[1]Исходные данные'!$F$2:$F$606,"38")</f>
        <v>2</v>
      </c>
      <c r="Q21" s="11">
        <f>SUMIFS('[1]Исходные данные'!$J$2:$J$606,'[1]Исходные данные'!$D$2:$D$606,"ЭЦ",'[1]Исходные данные'!$F$2:$F$606,"38")</f>
        <v>0</v>
      </c>
      <c r="R21" s="11">
        <f>SUMIFS('[1]Исходные данные'!$I$2:$I$606,'[1]Исходные данные'!$D$2:$D$606,"ОКС",'[1]Исходные данные'!$F$2:$F$606,"38")</f>
        <v>0</v>
      </c>
      <c r="S21" s="11">
        <f>SUMIFS('[1]Исходные данные'!$J$2:$J$606,'[1]Исходные данные'!$D$2:$D$606,"ОКС",'[1]Исходные данные'!$F$2:$F$606,"38")</f>
        <v>0</v>
      </c>
      <c r="T21" s="11">
        <f>SUMIFS('[1]Исходные данные'!$I$2:$I$606,'[1]Исходные данные'!$D$2:$D$606,"РСЦ",'[1]Исходные данные'!$F$2:$F$606,"38")</f>
        <v>0</v>
      </c>
      <c r="U21" s="11">
        <f>SUMIFS('[1]Исходные данные'!$J$2:$J$606,'[1]Исходные данные'!$D$2:$D$606,"РСЦ",'[1]Исходные данные'!$F$2:$F$606,"38")</f>
        <v>0</v>
      </c>
      <c r="V21" s="11">
        <f>SUMIFS('[1]Исходные данные'!$I$2:$I$606,'[1]Исходные данные'!$D$2:$D$606,"ЦИТС",'[1]Исходные данные'!$F$2:$F$606,"38")</f>
        <v>0</v>
      </c>
      <c r="W21" s="11">
        <f>SUMIFS('[1]Исходные данные'!$J$2:$J$606,'[1]Исходные данные'!$D$2:$D$606,"ЦИТС",'[1]Исходные данные'!$F$2:$F$606,"38")</f>
        <v>0</v>
      </c>
      <c r="X21" s="11">
        <f>SUMIFS('[1]Исходные данные'!$I$2:$I$606,'[1]Исходные данные'!$D$2:$D$606,"ПРЦЭО",'[1]Исходные данные'!$F$2:$F$606,"38")</f>
        <v>0</v>
      </c>
      <c r="Y21" s="11">
        <f>SUMIFS('[1]Исходные данные'!$J$2:$J$606,'[1]Исходные данные'!$D$2:$D$606,"ПРЦЭО",'[1]Исходные данные'!$F$2:$F$606,"38")</f>
        <v>0</v>
      </c>
      <c r="Z21" s="11">
        <f>SUMIFS('[1]Исходные данные'!$I$2:$I$606,'[1]Исходные данные'!$D$2:$D$606,"ГЦ",'[1]Исходные данные'!$F$2:$F$606,"38")</f>
        <v>0</v>
      </c>
      <c r="AA21" s="11">
        <f>SUMIFS('[1]Исходные данные'!$J$2:$J$606,'[1]Исходные данные'!$D$2:$D$606,"ГЦ",'[1]Исходные данные'!$F$2:$F$606,"38")</f>
        <v>0</v>
      </c>
      <c r="AB21" s="11">
        <f>SUMIFS('[1]Исходные данные'!$I$2:$I$606,'[1]Исходные данные'!$D$2:$D$606,"ЦПП",'[1]Исходные данные'!$F$2:$F$606,"38")</f>
        <v>0</v>
      </c>
      <c r="AC21" s="11">
        <f>SUMIFS('[1]Исходные данные'!$J$2:$J$606,'[1]Исходные данные'!$D$2:$D$606,"ЦПП",'[1]Исходные данные'!$F$2:$F$606,"38")</f>
        <v>0</v>
      </c>
      <c r="AD21" s="11">
        <f>SUMIFS('[1]Исходные данные'!$I$2:$I$606,'[1]Исходные данные'!$D$2:$D$606,"БМТС",'[1]Исходные данные'!$F$2:$F$606,"38")</f>
        <v>0</v>
      </c>
      <c r="AE21" s="11">
        <f>SUMIFS('[1]Исходные данные'!$J$2:$J$606,'[1]Исходные данные'!$D$2:$D$606,"БМТС",'[1]Исходные данные'!$F$2:$F$606,"38")</f>
        <v>0</v>
      </c>
      <c r="AF21" s="11">
        <f>SUMIFS('[1]Исходные данные'!$I$2:$I$606,'[1]Исходные данные'!$D$2:$D$606,"УБиПКРС-1",'[1]Исходные данные'!$F$2:$F$606,"38")</f>
        <v>0</v>
      </c>
      <c r="AG21" s="11">
        <f>SUMIFS('[1]Исходные данные'!$J$2:$J$606,'[1]Исходные данные'!$D$2:$D$606,"УБиПКРС-1",'[1]Исходные данные'!$F$2:$F$606,"38")</f>
        <v>0</v>
      </c>
      <c r="AH21" s="11">
        <f>SUMIFS('[1]Исходные данные'!$I$2:$I$606,'[1]Исходные данные'!$D$2:$D$606,"УБиПКРС-2",'[1]Исходные данные'!$F$2:$F$606,"38")</f>
        <v>0</v>
      </c>
      <c r="AI21" s="11">
        <f>SUMIFS('[1]Исходные данные'!$J$2:$J$606,'[1]Исходные данные'!$D$2:$D$606,"УБиПКРС-2",'[1]Исходные данные'!$F$2:$F$606,"38")</f>
        <v>0</v>
      </c>
      <c r="AJ21" s="11">
        <f>SUMIFS('[1]Исходные данные'!$I$2:$I$606,'[1]Исходные данные'!$D$2:$D$606,"ДТТ-1",'[1]Исходные данные'!$F$2:$F$606,"38")</f>
        <v>0</v>
      </c>
      <c r="AK21" s="11">
        <f>SUMIFS('[1]Исходные данные'!$J$2:$J$606,'[1]Исходные данные'!$D$2:$D$606,"ДТТ-1",'[1]Исходные данные'!$F$2:$F$606,"38")</f>
        <v>0</v>
      </c>
      <c r="AL21" s="11">
        <f>SUMIFS('[1]Исходные данные'!$I$2:$I$606,'[1]Исходные данные'!$D$2:$D$606,"ЦНИПР",'[1]Исходные данные'!$F$2:$F$606,"38")</f>
        <v>0</v>
      </c>
      <c r="AM21" s="11">
        <f>SUMIFS('[1]Исходные данные'!$J$2:$J$606,'[1]Исходные данные'!$D$2:$D$606,"ЦНИПР",'[1]Исходные данные'!$F$2:$F$606,"38")</f>
        <v>0</v>
      </c>
      <c r="AN21" s="11">
        <f>SUMIFS('[1]Исходные данные'!$I$2:$I$606,'[1]Исходные данные'!$D$2:$D$606,"ОБиПКРС",'[1]Исходные данные'!$F$2:$F$606,"38")</f>
        <v>0</v>
      </c>
      <c r="AO21" s="11">
        <f>SUMIFS('[1]Исходные данные'!$J$2:$J$606,'[1]Исходные данные'!$D$2:$D$606,"ОБиПКРС",'[1]Исходные данные'!$F$2:$F$606,"38")</f>
        <v>0</v>
      </c>
      <c r="AP21" s="11">
        <f>SUMIFS('[1]Исходные данные'!$I$2:$I$606,'[1]Исходные данные'!$D$2:$D$606,"ЦАП",'[1]Исходные данные'!$F$2:$F$606,"38")</f>
        <v>0</v>
      </c>
      <c r="AQ21" s="11">
        <f>SUMIFS('[1]Исходные данные'!$J$2:$J$606,'[1]Исходные данные'!$D$2:$D$606,"ЦАП",'[1]Исходные данные'!$F$2:$F$606,"38")</f>
        <v>0</v>
      </c>
      <c r="AR21" s="11">
        <f>SUMIFS('[1]Исходные данные'!$I$2:$I$606,'[1]Исходные данные'!$D$2:$D$606,"ГООС",'[1]Исходные данные'!$F$2:$F$606,"38")</f>
        <v>0</v>
      </c>
      <c r="AS21" s="11">
        <f>SUMIFS('[1]Исходные данные'!$J$2:$J$606,'[1]Исходные данные'!$D$2:$D$606,"ГООС",'[1]Исходные данные'!$F$2:$F$606,"38")</f>
        <v>0</v>
      </c>
      <c r="AT21" s="11">
        <f>SUMIFS('[1]Исходные данные'!$I$2:$I$606,'[1]Исходные данные'!$D$2:$D$606,"Ақкетік",'[1]Исходные данные'!$F$2:$F$606,"38")</f>
        <v>1</v>
      </c>
      <c r="AU21" s="11">
        <f>SUMIFS('[1]Исходные данные'!$J$2:$J$606,'[1]Исходные данные'!$D$2:$D$606,"Ақкетік",'[1]Исходные данные'!$F$2:$F$606,"38")</f>
        <v>0</v>
      </c>
      <c r="AV21" s="11">
        <f>SUMIFS('[1]Исходные данные'!$I$2:$I$606,'[1]Исходные данные'!$D$2:$D$606,"Нейрон",'[1]Исходные данные'!$F$2:$F$606,"38")</f>
        <v>0</v>
      </c>
      <c r="AW21" s="11">
        <f>SUMIFS('[1]Исходные данные'!$J$2:$J$606,'[1]Исходные данные'!$D$2:$D$606,"Нейрон",'[1]Исходные данные'!$F$2:$F$606,"38")</f>
        <v>0</v>
      </c>
      <c r="AX21" s="11">
        <f>SUMIFS('[1]Исходные данные'!$I$2:$I$606,'[1]Исходные данные'!$D$2:$D$606,"Бурение",'[1]Исходные данные'!$F$2:$F$606,"38")</f>
        <v>0</v>
      </c>
      <c r="AY21" s="11">
        <f>SUMIFS('[1]Исходные данные'!$J$2:$J$606,'[1]Исходные данные'!$D$2:$D$606,"Бурение",'[1]Исходные данные'!$F$2:$F$606,"38")</f>
        <v>0</v>
      </c>
      <c r="AZ21" s="11">
        <f>SUMIFS('[1]Исходные данные'!$I$2:$I$606,'[1]Исходные данные'!$D$2:$D$606,"ЦТВС",'[1]Исходные данные'!$F$2:$F$606,"38")</f>
        <v>0</v>
      </c>
      <c r="BA21" s="11">
        <f>SUMIFS('[1]Исходные данные'!$J$2:$J$606,'[1]Исходные данные'!$D$2:$D$606,"ЦТВС",'[1]Исходные данные'!$F$2:$F$606,"38")</f>
        <v>0</v>
      </c>
      <c r="BB21" s="11">
        <f>SUMIFS('[1]Исходные данные'!$I$2:$I$606,'[1]Исходные данные'!$D$2:$D$606,"ТБ",'[1]Исходные данные'!$F$2:$F$606,"38")</f>
        <v>0</v>
      </c>
      <c r="BC21" s="11">
        <f>SUMIFS('[1]Исходные данные'!$J$2:$J$606,'[1]Исходные данные'!$D$2:$D$606,"ТБ",'[1]Исходные данные'!$F$2:$F$606,"38")</f>
        <v>0</v>
      </c>
      <c r="BD21" s="11">
        <f>SUMIFS('[1]Исходные данные'!$I$2:$I$606,'[1]Исходные данные'!$D$2:$D$606,"ОТДН",'[1]Исходные данные'!$F$2:$F$606,"38")</f>
        <v>0</v>
      </c>
      <c r="BE21" s="11">
        <f>SUMIFS('[1]Исходные данные'!$J$2:$J$606,'[1]Исходные данные'!$D$2:$D$606,"ОТДН",'[1]Исходные данные'!$F$2:$F$606,"38")</f>
        <v>0</v>
      </c>
      <c r="BF21" s="11">
        <f>SUMIFS('[1]Исходные данные'!$I$2:$I$606,'[1]Исходные данные'!$D$2:$D$606,"ПЧ-Семсер",'[1]Исходные данные'!$F$2:$F$606,"38")</f>
        <v>0</v>
      </c>
      <c r="BG21" s="11">
        <f>SUMIFS('[1]Исходные данные'!$J$2:$J$606,'[1]Исходные данные'!$D$2:$D$606,"ПЧ-Семсер",'[1]Исходные данные'!$F$2:$F$606,"38")</f>
        <v>0</v>
      </c>
      <c r="BH21" s="11">
        <f>SUMIFS('[1]Исходные данные'!$I$2:$I$606,'[1]Исходные данные'!$D$2:$D$606,"ПРЦЭО(2)",'[1]Исходные данные'!$F$2:$F$606,"38")</f>
        <v>0</v>
      </c>
      <c r="BI21" s="11">
        <f>SUMIFS('[1]Исходные данные'!$J$2:$J$606,'[1]Исходные данные'!$D$2:$D$606,"ПРЦЭО(2)",'[1]Исходные данные'!$F$2:$F$606,"38")</f>
        <v>0</v>
      </c>
      <c r="BJ21" s="11">
        <f>SUMIFS('[1]Исходные данные'!$I$2:$I$606,'[1]Исходные данные'!$D$2:$D$606,"БД",'[1]Исходные данные'!$F$2:$F$606,"38")</f>
        <v>0</v>
      </c>
      <c r="BK21" s="11">
        <f>SUMIFS('[1]Исходные данные'!$J$2:$J$606,'[1]Исходные данные'!$D$2:$D$606,"БД",'[1]Исходные данные'!$F$2:$F$606,"38")</f>
        <v>0</v>
      </c>
      <c r="BL21" s="11">
        <f>SUMIFS('[1]Исходные данные'!$I$2:$I$606,'[1]Исходные данные'!$D$2:$D$606,"ОГиР",'[1]Исходные данные'!$F$2:$F$606,"38")</f>
        <v>0</v>
      </c>
      <c r="BM21" s="11">
        <f>SUMIFS('[1]Исходные данные'!$J$2:$J$606,'[1]Исходные данные'!$D$2:$D$606,"ОГиР",'[1]Исходные данные'!$F$2:$F$606,"38")</f>
        <v>0</v>
      </c>
      <c r="BN21" s="11">
        <f>SUMIFS('[1]Исходные данные'!$I$2:$I$606,'[1]Исходные данные'!$D$2:$D$606,"ГСРиВК",'[1]Исходные данные'!$F$2:$F$606,"38")</f>
        <v>0</v>
      </c>
      <c r="BO21" s="11">
        <f>SUMIFS('[1]Исходные данные'!$J$2:$J$606,'[1]Исходные данные'!$D$2:$D$606,"ГСРиВК",'[1]Исходные данные'!$F$2:$F$606,"38")</f>
        <v>0</v>
      </c>
      <c r="BP21" s="11">
        <f>SUMIFS('[1]Исходные данные'!$I$2:$I$606,'[1]Исходные данные'!$D$2:$D$606,"МПГУ",'[1]Исходные данные'!$F$2:$F$606,"38")</f>
        <v>0</v>
      </c>
      <c r="BQ21" s="11">
        <f>SUMIFS('[1]Исходные данные'!$J$2:$J$606,'[1]Исходные данные'!$D$2:$D$606,"МПГУ",'[1]Исходные данные'!$F$2:$F$606,"38")</f>
        <v>0</v>
      </c>
      <c r="BR21" s="11">
        <f>SUMIFS('[1]Исходные данные'!$I$2:$I$606,'[1]Исходные данные'!$D$2:$D$606,"БПО 2",'[1]Исходные данные'!$F$2:$F$606,"38")</f>
        <v>0</v>
      </c>
      <c r="BS21" s="11">
        <f>SUMIFS('[1]Исходные данные'!$J$2:$J$606,'[1]Исходные данные'!$D$2:$D$606,"БПО 2",'[1]Исходные данные'!$F$2:$F$606,"38")</f>
        <v>0</v>
      </c>
      <c r="BT21" s="11">
        <f>SUMIFS('[1]Исходные данные'!$I$2:$I$606,'[1]Исходные данные'!$D$2:$D$606,"ЛД",'[1]Исходные данные'!$F$2:$F$606,"38")</f>
        <v>0</v>
      </c>
      <c r="BU21" s="11">
        <f>SUMIFS('[1]Исходные данные'!$J$2:$J$606,'[1]Исходные данные'!$D$2:$D$606,"ЛД",'[1]Исходные данные'!$F$2:$F$606,"38")</f>
        <v>0</v>
      </c>
      <c r="BV21" s="11">
        <f>SUMIFS('[1]Исходные данные'!$I$2:$I$606,'[1]Исходные данные'!$D$2:$D$606,"Отделкадр",'[1]Исходные данные'!$F$2:$F$606,"38")</f>
        <v>0</v>
      </c>
      <c r="BW21" s="11">
        <f>SUMIFS('[1]Исходные данные'!$J$2:$J$606,'[1]Исходные данные'!$D$2:$D$606,"Отделкадр",'[1]Исходные данные'!$F$2:$F$606,"38")</f>
        <v>0</v>
      </c>
      <c r="BX21" s="11">
        <f>SUMIFS('[1]Исходные данные'!$I$2:$I$606,'[1]Исходные данные'!$D$2:$D$606,"ЦИТС.",'[1]Исходные данные'!$F$2:$F$606,"38")</f>
        <v>0</v>
      </c>
      <c r="BY21" s="11">
        <f>SUMIFS('[1]Исходные данные'!$J$2:$J$606,'[1]Исходные данные'!$D$2:$D$606,"ЦИТС.",'[1]Исходные данные'!$F$2:$F$606,"38")</f>
        <v>0</v>
      </c>
      <c r="BZ21" s="11">
        <f>SUMIFS('[1]Исходные данные'!$I$2:$I$606,'[1]Исходные данные'!$D$2:$D$606,"ОБО",'[1]Исходные данные'!$F$2:$F$606,"38")</f>
        <v>0</v>
      </c>
      <c r="CA21" s="11">
        <f>SUMIFS('[1]Исходные данные'!$J$2:$J$606,'[1]Исходные данные'!$D$2:$D$606,"ОБО",'[1]Исходные данные'!$F$2:$F$606,"38")</f>
        <v>0</v>
      </c>
      <c r="CB21" s="11">
        <f>SUMIFS('[1]Исходные данные'!$I$2:$I$606,'[1]Исходные данные'!$D$2:$D$606,"УЖЭО",'[1]Исходные данные'!$F$2:$F$606,"38")</f>
        <v>0</v>
      </c>
      <c r="CC21" s="11">
        <f>SUMIFS('[1]Исходные данные'!$J$2:$J$606,'[1]Исходные данные'!$D$2:$D$606,"УЖЭО",'[1]Исходные данные'!$F$2:$F$606,"38")</f>
        <v>0</v>
      </c>
      <c r="CD21" s="11">
        <f>SUMIFS('[1]Исходные данные'!$I$2:$I$606,'[1]Исходные данные'!$D$2:$D$606,"Мухтар/Хамит",'[1]Исходные данные'!$F$2:$F$606,"38")</f>
        <v>0</v>
      </c>
      <c r="CE21" s="11">
        <f>SUMIFS('[1]Исходные данные'!$J$2:$J$606,'[1]Исходные данные'!$D$2:$D$606,"Мухтар/Хамит",'[1]Исходные данные'!$F$2:$F$606,"38")</f>
        <v>0</v>
      </c>
      <c r="CF21" s="11">
        <f>SUMIFS('[1]Исходные данные'!$I$2:$I$606,'[1]Исходные данные'!$D$2:$D$606,"ОБО-    СБ",'[1]Исходные данные'!$F$2:$F$606,"38")</f>
        <v>0</v>
      </c>
      <c r="CG21" s="11">
        <f>SUMIFS('[1]Исходные данные'!$J$2:$J$606,'[1]Исходные данные'!$D$2:$D$606,"ОБО-    СБ",'[1]Исходные данные'!$F$2:$F$606,"38")</f>
        <v>0</v>
      </c>
      <c r="CH21" s="11">
        <f>SUMIFS('[1]Исходные данные'!$I$2:$I$606,'[1]Исходные данные'!$D$2:$D$606,"РМУ 2",'[1]Исходные данные'!$F$2:$F$606,"38")</f>
        <v>0</v>
      </c>
      <c r="CI21" s="11">
        <f>SUMIFS('[1]Исходные данные'!$J$2:$J$606,'[1]Исходные данные'!$D$2:$D$606,"РМУ 2",'[1]Исходные данные'!$F$2:$F$606,"38")</f>
        <v>0</v>
      </c>
      <c r="CJ21" s="11">
        <f>SUMIFS('[1]Исходные данные'!$I$2:$I$606,'[1]Исходные данные'!$D$2:$D$606,"ГАПиИТ",'[1]Исходные данные'!$F$2:$F$606,"38")</f>
        <v>0</v>
      </c>
      <c r="CK21" s="11">
        <f>SUMIFS('[1]Исходные данные'!$J$2:$J$606,'[1]Исходные данные'!$D$2:$D$606,"ГАПиИТ",'[1]Исходные данные'!$F$2:$F$606,"38")</f>
        <v>0</v>
      </c>
      <c r="CL21" s="11">
        <f>SUMIFS('[1]Исходные данные'!$I$2:$I$606,'[1]Исходные данные'!$D$2:$D$606,"ОМ",'[1]Исходные данные'!$F$2:$F$606,"38")</f>
        <v>0</v>
      </c>
      <c r="CM21" s="11">
        <f>SUMIFS('[1]Исходные данные'!$J$2:$J$606,'[1]Исходные данные'!$D$2:$D$606,"ОМ",'[1]Исходные данные'!$F$2:$F$606,"38")</f>
        <v>0</v>
      </c>
      <c r="CN21" s="11">
        <f>SUMIFS('[1]Исходные данные'!$I$2:$I$606,'[1]Исходные данные'!$D$2:$D$606,"оппоIR",'[1]Исходные данные'!$F$2:$F$606,"38")</f>
        <v>0</v>
      </c>
      <c r="CO21" s="11">
        <f>SUMIFS('[1]Исходные данные'!$J$2:$J$606,'[1]Исходные данные'!$D$2:$D$606,"оппоIR",'[1]Исходные данные'!$F$2:$F$606,"38")</f>
        <v>0</v>
      </c>
      <c r="CP21" s="11">
        <f>SUMIFS('[1]Исходные данные'!$I$2:$I$606,'[1]Исходные данные'!$D$2:$D$606,"Маркшейдер",'[1]Исходные данные'!$F$2:$F$606,"38")</f>
        <v>0</v>
      </c>
      <c r="CQ21" s="11">
        <f>SUMIFS('[1]Исходные данные'!$J$2:$J$606,'[1]Исходные данные'!$D$2:$D$606,"Маркшейдер",'[1]Исходные данные'!$F$2:$F$606,"38")</f>
        <v>0</v>
      </c>
      <c r="CR21" s="11">
        <f>SUMIFS('[1]Исходные данные'!$I$2:$I$606,'[1]Исходные данные'!$D$2:$D$606,"ПСО",'[1]Исходные данные'!$F$2:$F$606,"38")</f>
        <v>0</v>
      </c>
      <c r="CS21" s="11">
        <f>SUMIFS('[1]Исходные данные'!$J$2:$J$606,'[1]Исходные данные'!$D$2:$D$606,"ПСО",'[1]Исходные данные'!$F$2:$F$606,"38")</f>
        <v>0</v>
      </c>
    </row>
    <row r="22" spans="1:97" x14ac:dyDescent="0.25">
      <c r="A22" s="13" t="s">
        <v>89</v>
      </c>
      <c r="B22" s="11" t="s">
        <v>90</v>
      </c>
      <c r="C22" s="10">
        <f t="shared" si="0"/>
        <v>5</v>
      </c>
      <c r="D22" s="10">
        <f t="shared" si="1"/>
        <v>5</v>
      </c>
      <c r="E22" s="10">
        <f t="shared" si="1"/>
        <v>0</v>
      </c>
      <c r="F22" s="11">
        <f>SUMIFS('[1]Исходные данные'!$I$2:$I$606,'[1]Исходные данные'!$D$2:$D$606,"ЦДН-1",'[1]Исходные данные'!$F$2:$F$606,"59")</f>
        <v>0</v>
      </c>
      <c r="G22" s="11">
        <f>SUMIFS('[1]Исходные данные'!$J$2:$J$606,'[1]Исходные данные'!$D$2:$D$606,"ЦДН-1",'[1]Исходные данные'!$F$2:$F$606,"59")</f>
        <v>0</v>
      </c>
      <c r="H22" s="11">
        <f>SUMIFS('[1]Исходные данные'!$I$2:$I$606,'[1]Исходные данные'!$D$2:$D$606,"ЦДН-2",'[1]Исходные данные'!$F$2:$F$606,"59")</f>
        <v>5</v>
      </c>
      <c r="I22" s="11">
        <f>SUMIFS('[1]Исходные данные'!$J$2:$J$606,'[1]Исходные данные'!$D$2:$D$606,"ЦДН-2",'[1]Исходные данные'!$F$2:$F$606,"59")</f>
        <v>0</v>
      </c>
      <c r="J22" s="11">
        <f>SUMIFS('[1]Исходные данные'!$I$2:$I$606,'[1]Исходные данные'!$D$2:$D$606,"ЦДН-3",'[1]Исходные данные'!$F$2:$F$606,"59")</f>
        <v>0</v>
      </c>
      <c r="K22" s="11">
        <f>SUMIFS('[1]Исходные данные'!$J$2:$J$606,'[1]Исходные данные'!$D$2:$D$606,"ЦДН-3",'[1]Исходные данные'!$F$2:$F$606,"59")</f>
        <v>0</v>
      </c>
      <c r="L22" s="11">
        <f>SUMIFS('[1]Исходные данные'!$I$2:$I$606,'[1]Исходные данные'!$D$2:$D$606,"ЦППН",'[1]Исходные данные'!$F$2:$F$606,"59")</f>
        <v>0</v>
      </c>
      <c r="M22" s="11">
        <f>SUMIFS('[1]Исходные данные'!$J$2:$J$606,'[1]Исходные данные'!$D$2:$D$606,"ЦППН",'[1]Исходные данные'!$F$2:$F$606,"59")</f>
        <v>0</v>
      </c>
      <c r="N22" s="11">
        <f>SUMIFS('[1]Исходные данные'!$I$2:$I$606,'[1]Исходные данные'!$D$2:$D$606,"ЦППД",'[1]Исходные данные'!$F$2:$F$606,"59")</f>
        <v>0</v>
      </c>
      <c r="O22" s="11">
        <f>SUMIFS('[1]Исходные данные'!$J$2:$J$606,'[1]Исходные данные'!$D$2:$D$606,"ЦППД",'[1]Исходные данные'!$F$2:$F$606,"59")</f>
        <v>0</v>
      </c>
      <c r="P22" s="11">
        <f>SUMIFS('[1]Исходные данные'!$I$2:$I$606,'[1]Исходные данные'!$D$2:$D$606,"ЭЦ",'[1]Исходные данные'!$F$2:$F$606,"59")</f>
        <v>0</v>
      </c>
      <c r="Q22" s="11">
        <f>SUMIFS('[1]Исходные данные'!$J$2:$J$606,'[1]Исходные данные'!$D$2:$D$606,"ЭЦ",'[1]Исходные данные'!$F$2:$F$606,"59")</f>
        <v>0</v>
      </c>
      <c r="R22" s="11">
        <f>SUMIFS('[1]Исходные данные'!$I$2:$I$606,'[1]Исходные данные'!$D$2:$D$606,"ОКС",'[1]Исходные данные'!$F$2:$F$606,"59")</f>
        <v>0</v>
      </c>
      <c r="S22" s="11">
        <f>SUMIFS('[1]Исходные данные'!$J$2:$J$606,'[1]Исходные данные'!$D$2:$D$606,"ОКС",'[1]Исходные данные'!$F$2:$F$606,"59")</f>
        <v>0</v>
      </c>
      <c r="T22" s="11">
        <f>SUMIFS('[1]Исходные данные'!$I$2:$I$606,'[1]Исходные данные'!$D$2:$D$606,"РСЦ",'[1]Исходные данные'!$F$2:$F$606,"59")</f>
        <v>0</v>
      </c>
      <c r="U22" s="11">
        <f>SUMIFS('[1]Исходные данные'!$J$2:$J$606,'[1]Исходные данные'!$D$2:$D$606,"РСЦ",'[1]Исходные данные'!$F$2:$F$606,"59")</f>
        <v>0</v>
      </c>
      <c r="V22" s="11">
        <f>SUMIFS('[1]Исходные данные'!$I$2:$I$606,'[1]Исходные данные'!$D$2:$D$606,"ЦИТС",'[1]Исходные данные'!$F$2:$F$606,"59")</f>
        <v>0</v>
      </c>
      <c r="W22" s="11">
        <f>SUMIFS('[1]Исходные данные'!$J$2:$J$606,'[1]Исходные данные'!$D$2:$D$606,"ЦИТС",'[1]Исходные данные'!$F$2:$F$606,"59")</f>
        <v>0</v>
      </c>
      <c r="X22" s="11">
        <f>SUMIFS('[1]Исходные данные'!$I$2:$I$606,'[1]Исходные данные'!$D$2:$D$606,"ПРЦЭО",'[1]Исходные данные'!$F$2:$F$606,"59")</f>
        <v>0</v>
      </c>
      <c r="Y22" s="11">
        <f>SUMIFS('[1]Исходные данные'!$J$2:$J$606,'[1]Исходные данные'!$D$2:$D$606,"ПРЦЭО",'[1]Исходные данные'!$F$2:$F$606,"59")</f>
        <v>0</v>
      </c>
      <c r="Z22" s="11">
        <f>SUMIFS('[1]Исходные данные'!$I$2:$I$606,'[1]Исходные данные'!$D$2:$D$606,"ГЦ",'[1]Исходные данные'!$F$2:$F$606,"59")</f>
        <v>0</v>
      </c>
      <c r="AA22" s="11">
        <f>SUMIFS('[1]Исходные данные'!$J$2:$J$606,'[1]Исходные данные'!$D$2:$D$606,"ГЦ",'[1]Исходные данные'!$F$2:$F$606,"59")</f>
        <v>0</v>
      </c>
      <c r="AB22" s="11">
        <f>SUMIFS('[1]Исходные данные'!$I$2:$I$606,'[1]Исходные данные'!$D$2:$D$606,"ЦПП",'[1]Исходные данные'!$F$2:$F$606,"59")</f>
        <v>0</v>
      </c>
      <c r="AC22" s="11">
        <f>SUMIFS('[1]Исходные данные'!$J$2:$J$606,'[1]Исходные данные'!$D$2:$D$606,"ЦПП",'[1]Исходные данные'!$F$2:$F$606,"59")</f>
        <v>0</v>
      </c>
      <c r="AD22" s="11">
        <f>SUMIFS('[1]Исходные данные'!$I$2:$I$606,'[1]Исходные данные'!$D$2:$D$606,"БМТС",'[1]Исходные данные'!$F$2:$F$606,"59")</f>
        <v>0</v>
      </c>
      <c r="AE22" s="11">
        <f>SUMIFS('[1]Исходные данные'!$J$2:$J$606,'[1]Исходные данные'!$D$2:$D$606,"БМТС",'[1]Исходные данные'!$F$2:$F$606,"59")</f>
        <v>0</v>
      </c>
      <c r="AF22" s="11">
        <f>SUMIFS('[1]Исходные данные'!$I$2:$I$606,'[1]Исходные данные'!$D$2:$D$606,"УБиПКРС-1",'[1]Исходные данные'!$F$2:$F$606,"59")</f>
        <v>0</v>
      </c>
      <c r="AG22" s="11">
        <f>SUMIFS('[1]Исходные данные'!$J$2:$J$606,'[1]Исходные данные'!$D$2:$D$606,"УБиПКРС-1",'[1]Исходные данные'!$F$2:$F$606,"59")</f>
        <v>0</v>
      </c>
      <c r="AH22" s="11">
        <f>SUMIFS('[1]Исходные данные'!$I$2:$I$606,'[1]Исходные данные'!$D$2:$D$606,"УБиПКРС-2",'[1]Исходные данные'!$F$2:$F$606,"59")</f>
        <v>0</v>
      </c>
      <c r="AI22" s="11">
        <f>SUMIFS('[1]Исходные данные'!$J$2:$J$606,'[1]Исходные данные'!$D$2:$D$606,"УБиПКРС-2",'[1]Исходные данные'!$F$2:$F$606,"59")</f>
        <v>0</v>
      </c>
      <c r="AJ22" s="11">
        <f>SUMIFS('[1]Исходные данные'!$I$2:$I$606,'[1]Исходные данные'!$D$2:$D$606,"ДТТ-1",'[1]Исходные данные'!$F$2:$F$606,"59")</f>
        <v>0</v>
      </c>
      <c r="AK22" s="11">
        <f>SUMIFS('[1]Исходные данные'!$J$2:$J$606,'[1]Исходные данные'!$D$2:$D$606,"ДТТ-1",'[1]Исходные данные'!$F$2:$F$606,"59")</f>
        <v>0</v>
      </c>
      <c r="AL22" s="11">
        <f>SUMIFS('[1]Исходные данные'!$I$2:$I$606,'[1]Исходные данные'!$D$2:$D$606,"ЦНИПР",'[1]Исходные данные'!$F$2:$F$606,"59")</f>
        <v>0</v>
      </c>
      <c r="AM22" s="11">
        <f>SUMIFS('[1]Исходные данные'!$J$2:$J$606,'[1]Исходные данные'!$D$2:$D$606,"ЦНИПР",'[1]Исходные данные'!$F$2:$F$606,"59")</f>
        <v>0</v>
      </c>
      <c r="AN22" s="11">
        <f>SUMIFS('[1]Исходные данные'!$I$2:$I$606,'[1]Исходные данные'!$D$2:$D$606,"ОБиПКРС",'[1]Исходные данные'!$F$2:$F$606,"59")</f>
        <v>0</v>
      </c>
      <c r="AO22" s="11">
        <f>SUMIFS('[1]Исходные данные'!$J$2:$J$606,'[1]Исходные данные'!$D$2:$D$606,"ОБиПКРС",'[1]Исходные данные'!$F$2:$F$606,"59")</f>
        <v>0</v>
      </c>
      <c r="AP22" s="11">
        <f>SUMIFS('[1]Исходные данные'!$I$2:$I$606,'[1]Исходные данные'!$D$2:$D$606,"ЦАП",'[1]Исходные данные'!$F$2:$F$606,"59")</f>
        <v>0</v>
      </c>
      <c r="AQ22" s="11">
        <f>SUMIFS('[1]Исходные данные'!$J$2:$J$606,'[1]Исходные данные'!$D$2:$D$606,"ЦАП",'[1]Исходные данные'!$F$2:$F$606,"59")</f>
        <v>0</v>
      </c>
      <c r="AR22" s="11">
        <f>SUMIFS('[1]Исходные данные'!$I$2:$I$606,'[1]Исходные данные'!$D$2:$D$606,"ГООС",'[1]Исходные данные'!$F$2:$F$606,"59")</f>
        <v>0</v>
      </c>
      <c r="AS22" s="11">
        <f>SUMIFS('[1]Исходные данные'!$J$2:$J$606,'[1]Исходные данные'!$D$2:$D$606,"ГООС",'[1]Исходные данные'!$F$2:$F$606,"59")</f>
        <v>0</v>
      </c>
      <c r="AT22" s="11">
        <f>SUMIFS('[1]Исходные данные'!$I$2:$I$606,'[1]Исходные данные'!$D$2:$D$606,"Ақкетік",'[1]Исходные данные'!$F$2:$F$606,"59")</f>
        <v>0</v>
      </c>
      <c r="AU22" s="11">
        <f>SUMIFS('[1]Исходные данные'!$J$2:$J$606,'[1]Исходные данные'!$D$2:$D$606,"Ақкетік",'[1]Исходные данные'!$F$2:$F$606,"59")</f>
        <v>0</v>
      </c>
      <c r="AV22" s="11">
        <f>SUMIFS('[1]Исходные данные'!$I$2:$I$606,'[1]Исходные данные'!$D$2:$D$606,"Нейрон",'[1]Исходные данные'!$F$2:$F$606,"59")</f>
        <v>0</v>
      </c>
      <c r="AW22" s="11">
        <f>SUMIFS('[1]Исходные данные'!$J$2:$J$606,'[1]Исходные данные'!$D$2:$D$606,"Нейрон",'[1]Исходные данные'!$F$2:$F$606,"59")</f>
        <v>0</v>
      </c>
      <c r="AX22" s="11">
        <f>SUMIFS('[1]Исходные данные'!$I$2:$I$606,'[1]Исходные данные'!$D$2:$D$606,"Бурение",'[1]Исходные данные'!$F$2:$F$606,"59")</f>
        <v>0</v>
      </c>
      <c r="AY22" s="11">
        <f>SUMIFS('[1]Исходные данные'!$J$2:$J$606,'[1]Исходные данные'!$D$2:$D$606,"Бурение",'[1]Исходные данные'!$F$2:$F$606,"59")</f>
        <v>0</v>
      </c>
      <c r="AZ22" s="11">
        <f>SUMIFS('[1]Исходные данные'!$I$2:$I$606,'[1]Исходные данные'!$D$2:$D$606,"ЦТВС",'[1]Исходные данные'!$F$2:$F$606,"59")</f>
        <v>0</v>
      </c>
      <c r="BA22" s="11">
        <f>SUMIFS('[1]Исходные данные'!$J$2:$J$606,'[1]Исходные данные'!$D$2:$D$606,"ЦТВС",'[1]Исходные данные'!$F$2:$F$606,"59")</f>
        <v>0</v>
      </c>
      <c r="BB22" s="11">
        <f>SUMIFS('[1]Исходные данные'!$I$2:$I$606,'[1]Исходные данные'!$D$2:$D$606,"ТБ",'[1]Исходные данные'!$F$2:$F$606,"59")</f>
        <v>0</v>
      </c>
      <c r="BC22" s="11">
        <f>SUMIFS('[1]Исходные данные'!$J$2:$J$606,'[1]Исходные данные'!$D$2:$D$606,"ТБ",'[1]Исходные данные'!$F$2:$F$606,"59")</f>
        <v>0</v>
      </c>
      <c r="BD22" s="11">
        <f>SUMIFS('[1]Исходные данные'!$I$2:$I$606,'[1]Исходные данные'!$D$2:$D$606,"ОТДН",'[1]Исходные данные'!$F$2:$F$606,"59")</f>
        <v>0</v>
      </c>
      <c r="BE22" s="11">
        <f>SUMIFS('[1]Исходные данные'!$J$2:$J$606,'[1]Исходные данные'!$D$2:$D$606,"ОТДН",'[1]Исходные данные'!$F$2:$F$606,"59")</f>
        <v>0</v>
      </c>
      <c r="BF22" s="11">
        <f>SUMIFS('[1]Исходные данные'!$I$2:$I$606,'[1]Исходные данные'!$D$2:$D$606,"ПЧ-Семсер",'[1]Исходные данные'!$F$2:$F$606,"59")</f>
        <v>0</v>
      </c>
      <c r="BG22" s="11">
        <f>SUMIFS('[1]Исходные данные'!$J$2:$J$606,'[1]Исходные данные'!$D$2:$D$606,"ПЧ-Семсер",'[1]Исходные данные'!$F$2:$F$606,"59")</f>
        <v>0</v>
      </c>
      <c r="BH22" s="11">
        <f>SUMIFS('[1]Исходные данные'!$I$2:$I$606,'[1]Исходные данные'!$D$2:$D$606,"ПРЦЭО(2)",'[1]Исходные данные'!$F$2:$F$606,"59")</f>
        <v>0</v>
      </c>
      <c r="BI22" s="11">
        <f>SUMIFS('[1]Исходные данные'!$J$2:$J$606,'[1]Исходные данные'!$D$2:$D$606,"ПРЦЭО(2)",'[1]Исходные данные'!$F$2:$F$606,"59")</f>
        <v>0</v>
      </c>
      <c r="BJ22" s="11">
        <f>SUMIFS('[1]Исходные данные'!$I$2:$I$606,'[1]Исходные данные'!$D$2:$D$606,"БД",'[1]Исходные данные'!$F$2:$F$606,"59")</f>
        <v>0</v>
      </c>
      <c r="BK22" s="11">
        <f>SUMIFS('[1]Исходные данные'!$J$2:$J$606,'[1]Исходные данные'!$D$2:$D$606,"БД",'[1]Исходные данные'!$F$2:$F$606,"59")</f>
        <v>0</v>
      </c>
      <c r="BL22" s="11">
        <f>SUMIFS('[1]Исходные данные'!$I$2:$I$606,'[1]Исходные данные'!$D$2:$D$606,"ОГиР",'[1]Исходные данные'!$F$2:$F$606,"59")</f>
        <v>0</v>
      </c>
      <c r="BM22" s="11">
        <f>SUMIFS('[1]Исходные данные'!$J$2:$J$606,'[1]Исходные данные'!$D$2:$D$606,"ОГиР",'[1]Исходные данные'!$F$2:$F$606,"59")</f>
        <v>0</v>
      </c>
      <c r="BN22" s="11">
        <f>SUMIFS('[1]Исходные данные'!$I$2:$I$606,'[1]Исходные данные'!$D$2:$D$606,"ГСРиВК",'[1]Исходные данные'!$F$2:$F$606,"59")</f>
        <v>0</v>
      </c>
      <c r="BO22" s="11">
        <f>SUMIFS('[1]Исходные данные'!$J$2:$J$606,'[1]Исходные данные'!$D$2:$D$606,"ГСРиВК",'[1]Исходные данные'!$F$2:$F$606,"59")</f>
        <v>0</v>
      </c>
      <c r="BP22" s="11">
        <f>SUMIFS('[1]Исходные данные'!$I$2:$I$606,'[1]Исходные данные'!$D$2:$D$606,"МПГУ",'[1]Исходные данные'!$F$2:$F$606,"59")</f>
        <v>0</v>
      </c>
      <c r="BQ22" s="11">
        <f>SUMIFS('[1]Исходные данные'!$J$2:$J$606,'[1]Исходные данные'!$D$2:$D$606,"МПГУ",'[1]Исходные данные'!$F$2:$F$606,"59")</f>
        <v>0</v>
      </c>
      <c r="BR22" s="11">
        <f>SUMIFS('[1]Исходные данные'!$I$2:$I$606,'[1]Исходные данные'!$D$2:$D$606,"БПО 2",'[1]Исходные данные'!$F$2:$F$606,"59")</f>
        <v>0</v>
      </c>
      <c r="BS22" s="11">
        <f>SUMIFS('[1]Исходные данные'!$J$2:$J$606,'[1]Исходные данные'!$D$2:$D$606,"БПО 2",'[1]Исходные данные'!$F$2:$F$606,"59")</f>
        <v>0</v>
      </c>
      <c r="BT22" s="11">
        <f>SUMIFS('[1]Исходные данные'!$I$2:$I$606,'[1]Исходные данные'!$D$2:$D$606,"ЛД",'[1]Исходные данные'!$F$2:$F$606,"59")</f>
        <v>0</v>
      </c>
      <c r="BU22" s="11">
        <f>SUMIFS('[1]Исходные данные'!$J$2:$J$606,'[1]Исходные данные'!$D$2:$D$606,"ЛД",'[1]Исходные данные'!$F$2:$F$606,"59")</f>
        <v>0</v>
      </c>
      <c r="BV22" s="11">
        <f>SUMIFS('[1]Исходные данные'!$I$2:$I$606,'[1]Исходные данные'!$D$2:$D$606,"Отделкадр",'[1]Исходные данные'!$F$2:$F$606,"59")</f>
        <v>0</v>
      </c>
      <c r="BW22" s="11">
        <f>SUMIFS('[1]Исходные данные'!$J$2:$J$606,'[1]Исходные данные'!$D$2:$D$606,"Отделкадр",'[1]Исходные данные'!$F$2:$F$606,"59")</f>
        <v>0</v>
      </c>
      <c r="BX22" s="11">
        <f>SUMIFS('[1]Исходные данные'!$I$2:$I$606,'[1]Исходные данные'!$D$2:$D$606,"ЦИТС.",'[1]Исходные данные'!$F$2:$F$606,"59")</f>
        <v>0</v>
      </c>
      <c r="BY22" s="11">
        <f>SUMIFS('[1]Исходные данные'!$J$2:$J$606,'[1]Исходные данные'!$D$2:$D$606,"ЦИТС.",'[1]Исходные данные'!$F$2:$F$606,"59")</f>
        <v>0</v>
      </c>
      <c r="BZ22" s="11">
        <f>SUMIFS('[1]Исходные данные'!$I$2:$I$606,'[1]Исходные данные'!$D$2:$D$606,"ОБО",'[1]Исходные данные'!$F$2:$F$606,"59")</f>
        <v>0</v>
      </c>
      <c r="CA22" s="11">
        <f>SUMIFS('[1]Исходные данные'!$J$2:$J$606,'[1]Исходные данные'!$D$2:$D$606,"ОБО",'[1]Исходные данные'!$F$2:$F$606,"59")</f>
        <v>0</v>
      </c>
      <c r="CB22" s="11">
        <f>SUMIFS('[1]Исходные данные'!$I$2:$I$606,'[1]Исходные данные'!$D$2:$D$606,"УЖЭО",'[1]Исходные данные'!$F$2:$F$606,"59")</f>
        <v>0</v>
      </c>
      <c r="CC22" s="11">
        <f>SUMIFS('[1]Исходные данные'!$J$2:$J$606,'[1]Исходные данные'!$D$2:$D$606,"УЖЭО",'[1]Исходные данные'!$F$2:$F$606,"59")</f>
        <v>0</v>
      </c>
      <c r="CD22" s="11">
        <f>SUMIFS('[1]Исходные данные'!$I$2:$I$606,'[1]Исходные данные'!$D$2:$D$606,"Мухтар/Хамит",'[1]Исходные данные'!$F$2:$F$606,"59")</f>
        <v>0</v>
      </c>
      <c r="CE22" s="11">
        <f>SUMIFS('[1]Исходные данные'!$J$2:$J$606,'[1]Исходные данные'!$D$2:$D$606,"Мухтар/Хамит",'[1]Исходные данные'!$F$2:$F$606,"59")</f>
        <v>0</v>
      </c>
      <c r="CF22" s="11">
        <f>SUMIFS('[1]Исходные данные'!$I$2:$I$606,'[1]Исходные данные'!$D$2:$D$606,"ОБО-    СБ",'[1]Исходные данные'!$F$2:$F$606,"59")</f>
        <v>0</v>
      </c>
      <c r="CG22" s="11">
        <f>SUMIFS('[1]Исходные данные'!$J$2:$J$606,'[1]Исходные данные'!$D$2:$D$606,"ОБО-    СБ",'[1]Исходные данные'!$F$2:$F$606,"59")</f>
        <v>0</v>
      </c>
      <c r="CH22" s="11">
        <f>SUMIFS('[1]Исходные данные'!$I$2:$I$606,'[1]Исходные данные'!$D$2:$D$606,"РМУ 2",'[1]Исходные данные'!$F$2:$F$606,"59")</f>
        <v>0</v>
      </c>
      <c r="CI22" s="11">
        <f>SUMIFS('[1]Исходные данные'!$J$2:$J$606,'[1]Исходные данные'!$D$2:$D$606,"РМУ 2",'[1]Исходные данные'!$F$2:$F$606,"59")</f>
        <v>0</v>
      </c>
      <c r="CJ22" s="11">
        <f>SUMIFS('[1]Исходные данные'!$I$2:$I$606,'[1]Исходные данные'!$D$2:$D$606,"ГАПиИТ",'[1]Исходные данные'!$F$2:$F$606,"59")</f>
        <v>0</v>
      </c>
      <c r="CK22" s="11">
        <f>SUMIFS('[1]Исходные данные'!$J$2:$J$606,'[1]Исходные данные'!$D$2:$D$606,"ГАПиИТ",'[1]Исходные данные'!$F$2:$F$606,"59")</f>
        <v>0</v>
      </c>
      <c r="CL22" s="11">
        <f>SUMIFS('[1]Исходные данные'!$I$2:$I$606,'[1]Исходные данные'!$D$2:$D$606,"ОМ",'[1]Исходные данные'!$F$2:$F$606,"59")</f>
        <v>0</v>
      </c>
      <c r="CM22" s="11">
        <f>SUMIFS('[1]Исходные данные'!$J$2:$J$606,'[1]Исходные данные'!$D$2:$D$606,"ОМ",'[1]Исходные данные'!$F$2:$F$606,"59")</f>
        <v>0</v>
      </c>
      <c r="CN22" s="11">
        <f>SUMIFS('[1]Исходные данные'!$I$2:$I$606,'[1]Исходные данные'!$D$2:$D$606,"оппоIR",'[1]Исходные данные'!$F$2:$F$606,"59")</f>
        <v>0</v>
      </c>
      <c r="CO22" s="11">
        <f>SUMIFS('[1]Исходные данные'!$J$2:$J$606,'[1]Исходные данные'!$D$2:$D$606,"оппоIR",'[1]Исходные данные'!$F$2:$F$606,"59")</f>
        <v>0</v>
      </c>
      <c r="CP22" s="11">
        <f>SUMIFS('[1]Исходные данные'!$I$2:$I$606,'[1]Исходные данные'!$D$2:$D$606,"Маркшейдер",'[1]Исходные данные'!$F$2:$F$606,"59")</f>
        <v>0</v>
      </c>
      <c r="CQ22" s="11">
        <f>SUMIFS('[1]Исходные данные'!$J$2:$J$606,'[1]Исходные данные'!$D$2:$D$606,"Маркшейдер",'[1]Исходные данные'!$F$2:$F$606,"59")</f>
        <v>0</v>
      </c>
      <c r="CR22" s="11">
        <f>SUMIFS('[1]Исходные данные'!$I$2:$I$606,'[1]Исходные данные'!$D$2:$D$606,"ПСО",'[1]Исходные данные'!$F$2:$F$606,"59")</f>
        <v>0</v>
      </c>
      <c r="CS22" s="11">
        <f>SUMIFS('[1]Исходные данные'!$J$2:$J$606,'[1]Исходные данные'!$D$2:$D$606,"ПСО",'[1]Исходные данные'!$F$2:$F$606,"59")</f>
        <v>0</v>
      </c>
    </row>
    <row r="23" spans="1:97" x14ac:dyDescent="0.25">
      <c r="A23" s="13" t="s">
        <v>91</v>
      </c>
      <c r="B23" s="11" t="s">
        <v>92</v>
      </c>
      <c r="C23" s="10">
        <f t="shared" si="0"/>
        <v>5</v>
      </c>
      <c r="D23" s="10">
        <f t="shared" si="1"/>
        <v>5</v>
      </c>
      <c r="E23" s="10">
        <f t="shared" si="1"/>
        <v>0</v>
      </c>
      <c r="F23" s="11">
        <f>SUMIFS('[1]Исходные данные'!$I$2:$I$606,'[1]Исходные данные'!$D$2:$D$606,"ЦДН-1",'[1]Исходные данные'!$F$2:$F$606,"16")</f>
        <v>0</v>
      </c>
      <c r="G23" s="11">
        <f>SUMIFS('[1]Исходные данные'!$J$2:$J$606,'[1]Исходные данные'!$D$2:$D$606,"ЦДН-1",'[1]Исходные данные'!$F$2:$F$606,"16")</f>
        <v>0</v>
      </c>
      <c r="H23" s="11">
        <f>SUMIFS('[1]Исходные данные'!$I$2:$I$606,'[1]Исходные данные'!$D$2:$D$606,"ЦДН-2",'[1]Исходные данные'!$F$2:$F$606,"16")</f>
        <v>0</v>
      </c>
      <c r="I23" s="11">
        <f>SUMIFS('[1]Исходные данные'!$J$2:$J$606,'[1]Исходные данные'!$D$2:$D$606,"ЦДН-2",'[1]Исходные данные'!$F$2:$F$606,"16")</f>
        <v>0</v>
      </c>
      <c r="J23" s="11">
        <f>SUMIFS('[1]Исходные данные'!$I$2:$I$606,'[1]Исходные данные'!$D$2:$D$606,"ЦДН-3",'[1]Исходные данные'!$F$2:$F$606,"16")</f>
        <v>0</v>
      </c>
      <c r="K23" s="11">
        <f>SUMIFS('[1]Исходные данные'!$J$2:$J$606,'[1]Исходные данные'!$D$2:$D$606,"ЦДН-3",'[1]Исходные данные'!$F$2:$F$606,"16")</f>
        <v>0</v>
      </c>
      <c r="L23" s="11">
        <f>SUMIFS('[1]Исходные данные'!$I$2:$I$606,'[1]Исходные данные'!$D$2:$D$606,"ЦППН",'[1]Исходные данные'!$F$2:$F$606,"16")</f>
        <v>0</v>
      </c>
      <c r="M23" s="11">
        <f>SUMIFS('[1]Исходные данные'!$J$2:$J$606,'[1]Исходные данные'!$D$2:$D$606,"ЦППН",'[1]Исходные данные'!$F$2:$F$606,"16")</f>
        <v>0</v>
      </c>
      <c r="N23" s="11">
        <f>SUMIFS('[1]Исходные данные'!$I$2:$I$606,'[1]Исходные данные'!$D$2:$D$606,"ЦППД",'[1]Исходные данные'!$F$2:$F$606,"16")</f>
        <v>0</v>
      </c>
      <c r="O23" s="11">
        <f>SUMIFS('[1]Исходные данные'!$J$2:$J$606,'[1]Исходные данные'!$D$2:$D$606,"ЦППД",'[1]Исходные данные'!$F$2:$F$606,"16")</f>
        <v>0</v>
      </c>
      <c r="P23" s="11">
        <f>SUMIFS('[1]Исходные данные'!$I$2:$I$606,'[1]Исходные данные'!$D$2:$D$606,"ЭЦ",'[1]Исходные данные'!$F$2:$F$606,"16")</f>
        <v>0</v>
      </c>
      <c r="Q23" s="11">
        <f>SUMIFS('[1]Исходные данные'!$J$2:$J$606,'[1]Исходные данные'!$D$2:$D$606,"ЭЦ",'[1]Исходные данные'!$F$2:$F$606,"16")</f>
        <v>0</v>
      </c>
      <c r="R23" s="11">
        <f>SUMIFS('[1]Исходные данные'!$I$2:$I$606,'[1]Исходные данные'!$D$2:$D$606,"ОКС",'[1]Исходные данные'!$F$2:$F$606,"16")</f>
        <v>0</v>
      </c>
      <c r="S23" s="11">
        <f>SUMIFS('[1]Исходные данные'!$J$2:$J$606,'[1]Исходные данные'!$D$2:$D$606,"ОКС",'[1]Исходные данные'!$F$2:$F$606,"16")</f>
        <v>0</v>
      </c>
      <c r="T23" s="11">
        <f>SUMIFS('[1]Исходные данные'!$I$2:$I$606,'[1]Исходные данные'!$D$2:$D$606,"РСЦ",'[1]Исходные данные'!$F$2:$F$606,"16")</f>
        <v>0</v>
      </c>
      <c r="U23" s="11">
        <f>SUMIFS('[1]Исходные данные'!$J$2:$J$606,'[1]Исходные данные'!$D$2:$D$606,"РСЦ",'[1]Исходные данные'!$F$2:$F$606,"16")</f>
        <v>0</v>
      </c>
      <c r="V23" s="11">
        <f>SUMIFS('[1]Исходные данные'!$I$2:$I$606,'[1]Исходные данные'!$D$2:$D$606,"ЦИТС",'[1]Исходные данные'!$F$2:$F$606,"16")</f>
        <v>0</v>
      </c>
      <c r="W23" s="11">
        <f>SUMIFS('[1]Исходные данные'!$J$2:$J$606,'[1]Исходные данные'!$D$2:$D$606,"ЦИТС",'[1]Исходные данные'!$F$2:$F$606,"16")</f>
        <v>0</v>
      </c>
      <c r="X23" s="11">
        <f>SUMIFS('[1]Исходные данные'!$I$2:$I$606,'[1]Исходные данные'!$D$2:$D$606,"ПРЦЭО",'[1]Исходные данные'!$F$2:$F$606,"16")</f>
        <v>0</v>
      </c>
      <c r="Y23" s="11">
        <f>SUMIFS('[1]Исходные данные'!$J$2:$J$606,'[1]Исходные данные'!$D$2:$D$606,"ПРЦЭО",'[1]Исходные данные'!$F$2:$F$606,"16")</f>
        <v>0</v>
      </c>
      <c r="Z23" s="11">
        <f>SUMIFS('[1]Исходные данные'!$I$2:$I$606,'[1]Исходные данные'!$D$2:$D$606,"ГЦ",'[1]Исходные данные'!$F$2:$F$606,"16")</f>
        <v>0</v>
      </c>
      <c r="AA23" s="11">
        <f>SUMIFS('[1]Исходные данные'!$J$2:$J$606,'[1]Исходные данные'!$D$2:$D$606,"ГЦ",'[1]Исходные данные'!$F$2:$F$606,"16")</f>
        <v>0</v>
      </c>
      <c r="AB23" s="11">
        <f>SUMIFS('[1]Исходные данные'!$I$2:$I$606,'[1]Исходные данные'!$D$2:$D$606,"ЦПП",'[1]Исходные данные'!$F$2:$F$606,"16")</f>
        <v>0</v>
      </c>
      <c r="AC23" s="11">
        <f>SUMIFS('[1]Исходные данные'!$J$2:$J$606,'[1]Исходные данные'!$D$2:$D$606,"ЦПП",'[1]Исходные данные'!$F$2:$F$606,"16")</f>
        <v>0</v>
      </c>
      <c r="AD23" s="11">
        <f>SUMIFS('[1]Исходные данные'!$I$2:$I$606,'[1]Исходные данные'!$D$2:$D$606,"БМТС",'[1]Исходные данные'!$F$2:$F$606,"16")</f>
        <v>1</v>
      </c>
      <c r="AE23" s="11">
        <f>SUMIFS('[1]Исходные данные'!$J$2:$J$606,'[1]Исходные данные'!$D$2:$D$606,"БМТС",'[1]Исходные данные'!$F$2:$F$606,"16")</f>
        <v>0</v>
      </c>
      <c r="AF23" s="11">
        <f>SUMIFS('[1]Исходные данные'!$I$2:$I$606,'[1]Исходные данные'!$D$2:$D$606,"УБиПКРС-1",'[1]Исходные данные'!$F$2:$F$606,"16")</f>
        <v>4</v>
      </c>
      <c r="AG23" s="11">
        <f>SUMIFS('[1]Исходные данные'!$J$2:$J$606,'[1]Исходные данные'!$D$2:$D$606,"УБиПКРС-1",'[1]Исходные данные'!$F$2:$F$606,"16")</f>
        <v>0</v>
      </c>
      <c r="AH23" s="11">
        <f>SUMIFS('[1]Исходные данные'!$I$2:$I$606,'[1]Исходные данные'!$D$2:$D$606,"УБиПКРС-2",'[1]Исходные данные'!$F$2:$F$606,"16")</f>
        <v>0</v>
      </c>
      <c r="AI23" s="11">
        <f>SUMIFS('[1]Исходные данные'!$J$2:$J$606,'[1]Исходные данные'!$D$2:$D$606,"УБиПКРС-2",'[1]Исходные данные'!$F$2:$F$606,"16")</f>
        <v>0</v>
      </c>
      <c r="AJ23" s="11">
        <f>SUMIFS('[1]Исходные данные'!$I$2:$I$606,'[1]Исходные данные'!$D$2:$D$606,"ДТТ-1",'[1]Исходные данные'!$F$2:$F$606,"16")</f>
        <v>0</v>
      </c>
      <c r="AK23" s="11">
        <f>SUMIFS('[1]Исходные данные'!$J$2:$J$606,'[1]Исходные данные'!$D$2:$D$606,"ДТТ-1",'[1]Исходные данные'!$F$2:$F$606,"16")</f>
        <v>0</v>
      </c>
      <c r="AL23" s="11">
        <f>SUMIFS('[1]Исходные данные'!$I$2:$I$606,'[1]Исходные данные'!$D$2:$D$606,"ЦНИПР",'[1]Исходные данные'!$F$2:$F$606,"16")</f>
        <v>0</v>
      </c>
      <c r="AM23" s="11">
        <f>SUMIFS('[1]Исходные данные'!$J$2:$J$606,'[1]Исходные данные'!$D$2:$D$606,"ЦНИПР",'[1]Исходные данные'!$F$2:$F$606,"16")</f>
        <v>0</v>
      </c>
      <c r="AN23" s="11">
        <f>SUMIFS('[1]Исходные данные'!$I$2:$I$606,'[1]Исходные данные'!$D$2:$D$606,"ОБиПКРС",'[1]Исходные данные'!$F$2:$F$606,"16")</f>
        <v>0</v>
      </c>
      <c r="AO23" s="11">
        <f>SUMIFS('[1]Исходные данные'!$J$2:$J$606,'[1]Исходные данные'!$D$2:$D$606,"ОБиПКРС",'[1]Исходные данные'!$F$2:$F$606,"16")</f>
        <v>0</v>
      </c>
      <c r="AP23" s="11">
        <f>SUMIFS('[1]Исходные данные'!$I$2:$I$606,'[1]Исходные данные'!$D$2:$D$606,"ЦАП",'[1]Исходные данные'!$F$2:$F$606,"16")</f>
        <v>0</v>
      </c>
      <c r="AQ23" s="11">
        <f>SUMIFS('[1]Исходные данные'!$J$2:$J$606,'[1]Исходные данные'!$D$2:$D$606,"ЦАП",'[1]Исходные данные'!$F$2:$F$606,"16")</f>
        <v>0</v>
      </c>
      <c r="AR23" s="11">
        <f>SUMIFS('[1]Исходные данные'!$I$2:$I$606,'[1]Исходные данные'!$D$2:$D$606,"ГООС",'[1]Исходные данные'!$F$2:$F$606,"16")</f>
        <v>0</v>
      </c>
      <c r="AS23" s="11">
        <f>SUMIFS('[1]Исходные данные'!$J$2:$J$606,'[1]Исходные данные'!$D$2:$D$606,"ГООС",'[1]Исходные данные'!$F$2:$F$606,"16")</f>
        <v>0</v>
      </c>
      <c r="AT23" s="11">
        <f>SUMIFS('[1]Исходные данные'!$I$2:$I$606,'[1]Исходные данные'!$D$2:$D$606,"Ақкетік",'[1]Исходные данные'!$F$2:$F$606,"16")</f>
        <v>0</v>
      </c>
      <c r="AU23" s="11">
        <f>SUMIFS('[1]Исходные данные'!$J$2:$J$606,'[1]Исходные данные'!$D$2:$D$606,"Ақкетік",'[1]Исходные данные'!$F$2:$F$606,"16")</f>
        <v>0</v>
      </c>
      <c r="AV23" s="11">
        <f>SUMIFS('[1]Исходные данные'!$I$2:$I$606,'[1]Исходные данные'!$D$2:$D$606,"Нейрон",'[1]Исходные данные'!$F$2:$F$606,"16")</f>
        <v>0</v>
      </c>
      <c r="AW23" s="11">
        <f>SUMIFS('[1]Исходные данные'!$J$2:$J$606,'[1]Исходные данные'!$D$2:$D$606,"Нейрон",'[1]Исходные данные'!$F$2:$F$606,"16")</f>
        <v>0</v>
      </c>
      <c r="AX23" s="11">
        <f>SUMIFS('[1]Исходные данные'!$I$2:$I$606,'[1]Исходные данные'!$D$2:$D$606,"Бурение",'[1]Исходные данные'!$F$2:$F$606,"16")</f>
        <v>0</v>
      </c>
      <c r="AY23" s="11">
        <f>SUMIFS('[1]Исходные данные'!$J$2:$J$606,'[1]Исходные данные'!$D$2:$D$606,"Бурение",'[1]Исходные данные'!$F$2:$F$606,"16")</f>
        <v>0</v>
      </c>
      <c r="AZ23" s="11">
        <f>SUMIFS('[1]Исходные данные'!$I$2:$I$606,'[1]Исходные данные'!$D$2:$D$606,"ЦТВС",'[1]Исходные данные'!$F$2:$F$606,"16")</f>
        <v>0</v>
      </c>
      <c r="BA23" s="11">
        <f>SUMIFS('[1]Исходные данные'!$J$2:$J$606,'[1]Исходные данные'!$D$2:$D$606,"ЦТВС",'[1]Исходные данные'!$F$2:$F$606,"16")</f>
        <v>0</v>
      </c>
      <c r="BB23" s="11">
        <f>SUMIFS('[1]Исходные данные'!$I$2:$I$606,'[1]Исходные данные'!$D$2:$D$606,"ТБ",'[1]Исходные данные'!$F$2:$F$606,"16")</f>
        <v>0</v>
      </c>
      <c r="BC23" s="11">
        <f>SUMIFS('[1]Исходные данные'!$J$2:$J$606,'[1]Исходные данные'!$D$2:$D$606,"ТБ",'[1]Исходные данные'!$F$2:$F$606,"16")</f>
        <v>0</v>
      </c>
      <c r="BD23" s="11">
        <f>SUMIFS('[1]Исходные данные'!$I$2:$I$606,'[1]Исходные данные'!$D$2:$D$606,"ОТДН",'[1]Исходные данные'!$F$2:$F$606,"16")</f>
        <v>0</v>
      </c>
      <c r="BE23" s="11">
        <f>SUMIFS('[1]Исходные данные'!$J$2:$J$606,'[1]Исходные данные'!$D$2:$D$606,"ОТДН",'[1]Исходные данные'!$F$2:$F$606,"16")</f>
        <v>0</v>
      </c>
      <c r="BF23" s="11">
        <f>SUMIFS('[1]Исходные данные'!$I$2:$I$606,'[1]Исходные данные'!$D$2:$D$606,"ПЧ-Семсер",'[1]Исходные данные'!$F$2:$F$606,"16")</f>
        <v>0</v>
      </c>
      <c r="BG23" s="11">
        <f>SUMIFS('[1]Исходные данные'!$J$2:$J$606,'[1]Исходные данные'!$D$2:$D$606,"ПЧ-Семсер",'[1]Исходные данные'!$F$2:$F$606,"16")</f>
        <v>0</v>
      </c>
      <c r="BH23" s="11">
        <f>SUMIFS('[1]Исходные данные'!$I$2:$I$606,'[1]Исходные данные'!$D$2:$D$606,"ПРЦЭО(2)",'[1]Исходные данные'!$F$2:$F$606,"16")</f>
        <v>0</v>
      </c>
      <c r="BI23" s="11">
        <f>SUMIFS('[1]Исходные данные'!$J$2:$J$606,'[1]Исходные данные'!$D$2:$D$606,"ПРЦЭО(2)",'[1]Исходные данные'!$F$2:$F$606,"16")</f>
        <v>0</v>
      </c>
      <c r="BJ23" s="11">
        <f>SUMIFS('[1]Исходные данные'!$I$2:$I$606,'[1]Исходные данные'!$D$2:$D$606,"БД",'[1]Исходные данные'!$F$2:$F$606,"16")</f>
        <v>0</v>
      </c>
      <c r="BK23" s="11">
        <f>SUMIFS('[1]Исходные данные'!$J$2:$J$606,'[1]Исходные данные'!$D$2:$D$606,"БД",'[1]Исходные данные'!$F$2:$F$606,"16")</f>
        <v>0</v>
      </c>
      <c r="BL23" s="11">
        <f>SUMIFS('[1]Исходные данные'!$I$2:$I$606,'[1]Исходные данные'!$D$2:$D$606,"ОГиР",'[1]Исходные данные'!$F$2:$F$606,"16")</f>
        <v>0</v>
      </c>
      <c r="BM23" s="11">
        <f>SUMIFS('[1]Исходные данные'!$J$2:$J$606,'[1]Исходные данные'!$D$2:$D$606,"ОГиР",'[1]Исходные данные'!$F$2:$F$606,"16")</f>
        <v>0</v>
      </c>
      <c r="BN23" s="11">
        <f>SUMIFS('[1]Исходные данные'!$I$2:$I$606,'[1]Исходные данные'!$D$2:$D$606,"ГСРиВК",'[1]Исходные данные'!$F$2:$F$606,"16")</f>
        <v>0</v>
      </c>
      <c r="BO23" s="11">
        <f>SUMIFS('[1]Исходные данные'!$J$2:$J$606,'[1]Исходные данные'!$D$2:$D$606,"ГСРиВК",'[1]Исходные данные'!$F$2:$F$606,"16")</f>
        <v>0</v>
      </c>
      <c r="BP23" s="11">
        <f>SUMIFS('[1]Исходные данные'!$I$2:$I$606,'[1]Исходные данные'!$D$2:$D$606,"МПГУ",'[1]Исходные данные'!$F$2:$F$606,"16")</f>
        <v>0</v>
      </c>
      <c r="BQ23" s="11">
        <f>SUMIFS('[1]Исходные данные'!$J$2:$J$606,'[1]Исходные данные'!$D$2:$D$606,"МПГУ",'[1]Исходные данные'!$F$2:$F$606,"16")</f>
        <v>0</v>
      </c>
      <c r="BR23" s="11">
        <f>SUMIFS('[1]Исходные данные'!$I$2:$I$606,'[1]Исходные данные'!$D$2:$D$606,"БПО 2",'[1]Исходные данные'!$F$2:$F$606,"16")</f>
        <v>0</v>
      </c>
      <c r="BS23" s="11">
        <f>SUMIFS('[1]Исходные данные'!$J$2:$J$606,'[1]Исходные данные'!$D$2:$D$606,"БПО 2",'[1]Исходные данные'!$F$2:$F$606,"16")</f>
        <v>0</v>
      </c>
      <c r="BT23" s="11">
        <f>SUMIFS('[1]Исходные данные'!$I$2:$I$606,'[1]Исходные данные'!$D$2:$D$606,"ЛД",'[1]Исходные данные'!$F$2:$F$606,"16")</f>
        <v>0</v>
      </c>
      <c r="BU23" s="11">
        <f>SUMIFS('[1]Исходные данные'!$J$2:$J$606,'[1]Исходные данные'!$D$2:$D$606,"ЛД",'[1]Исходные данные'!$F$2:$F$606,"16")</f>
        <v>0</v>
      </c>
      <c r="BV23" s="11">
        <f>SUMIFS('[1]Исходные данные'!$I$2:$I$606,'[1]Исходные данные'!$D$2:$D$606,"Отделкадр",'[1]Исходные данные'!$F$2:$F$606,"16")</f>
        <v>0</v>
      </c>
      <c r="BW23" s="11">
        <f>SUMIFS('[1]Исходные данные'!$J$2:$J$606,'[1]Исходные данные'!$D$2:$D$606,"Отделкадр",'[1]Исходные данные'!$F$2:$F$606,"16")</f>
        <v>0</v>
      </c>
      <c r="BX23" s="11">
        <f>SUMIFS('[1]Исходные данные'!$I$2:$I$606,'[1]Исходные данные'!$D$2:$D$606,"ЦИТС.",'[1]Исходные данные'!$F$2:$F$606,"16")</f>
        <v>0</v>
      </c>
      <c r="BY23" s="11">
        <f>SUMIFS('[1]Исходные данные'!$J$2:$J$606,'[1]Исходные данные'!$D$2:$D$606,"ЦИТС.",'[1]Исходные данные'!$F$2:$F$606,"16")</f>
        <v>0</v>
      </c>
      <c r="BZ23" s="11">
        <f>SUMIFS('[1]Исходные данные'!$I$2:$I$606,'[1]Исходные данные'!$D$2:$D$606,"ОБО",'[1]Исходные данные'!$F$2:$F$606,"16")</f>
        <v>0</v>
      </c>
      <c r="CA23" s="11">
        <f>SUMIFS('[1]Исходные данные'!$J$2:$J$606,'[1]Исходные данные'!$D$2:$D$606,"ОБО",'[1]Исходные данные'!$F$2:$F$606,"16")</f>
        <v>0</v>
      </c>
      <c r="CB23" s="11">
        <f>SUMIFS('[1]Исходные данные'!$I$2:$I$606,'[1]Исходные данные'!$D$2:$D$606,"УЖЭО",'[1]Исходные данные'!$F$2:$F$606,"16")</f>
        <v>0</v>
      </c>
      <c r="CC23" s="11">
        <f>SUMIFS('[1]Исходные данные'!$J$2:$J$606,'[1]Исходные данные'!$D$2:$D$606,"УЖЭО",'[1]Исходные данные'!$F$2:$F$606,"16")</f>
        <v>0</v>
      </c>
      <c r="CD23" s="11">
        <f>SUMIFS('[1]Исходные данные'!$I$2:$I$606,'[1]Исходные данные'!$D$2:$D$606,"Мухтар/Хамит",'[1]Исходные данные'!$F$2:$F$606,"16")</f>
        <v>0</v>
      </c>
      <c r="CE23" s="11">
        <f>SUMIFS('[1]Исходные данные'!$J$2:$J$606,'[1]Исходные данные'!$D$2:$D$606,"Мухтар/Хамит",'[1]Исходные данные'!$F$2:$F$606,"16")</f>
        <v>0</v>
      </c>
      <c r="CF23" s="11">
        <f>SUMIFS('[1]Исходные данные'!$I$2:$I$606,'[1]Исходные данные'!$D$2:$D$606,"ОБО-    СБ",'[1]Исходные данные'!$F$2:$F$606,"16")</f>
        <v>0</v>
      </c>
      <c r="CG23" s="11">
        <f>SUMIFS('[1]Исходные данные'!$J$2:$J$606,'[1]Исходные данные'!$D$2:$D$606,"ОБО-    СБ",'[1]Исходные данные'!$F$2:$F$606,"16")</f>
        <v>0</v>
      </c>
      <c r="CH23" s="11">
        <f>SUMIFS('[1]Исходные данные'!$I$2:$I$606,'[1]Исходные данные'!$D$2:$D$606,"РМУ 2",'[1]Исходные данные'!$F$2:$F$606,"16")</f>
        <v>0</v>
      </c>
      <c r="CI23" s="11">
        <f>SUMIFS('[1]Исходные данные'!$J$2:$J$606,'[1]Исходные данные'!$D$2:$D$606,"РМУ 2",'[1]Исходные данные'!$F$2:$F$606,"16")</f>
        <v>0</v>
      </c>
      <c r="CJ23" s="11">
        <f>SUMIFS('[1]Исходные данные'!$I$2:$I$606,'[1]Исходные данные'!$D$2:$D$606,"ГАПиИТ",'[1]Исходные данные'!$F$2:$F$606,"16")</f>
        <v>0</v>
      </c>
      <c r="CK23" s="11">
        <f>SUMIFS('[1]Исходные данные'!$J$2:$J$606,'[1]Исходные данные'!$D$2:$D$606,"ГАПиИТ",'[1]Исходные данные'!$F$2:$F$606,"16")</f>
        <v>0</v>
      </c>
      <c r="CL23" s="11">
        <f>SUMIFS('[1]Исходные данные'!$I$2:$I$606,'[1]Исходные данные'!$D$2:$D$606,"ОМ",'[1]Исходные данные'!$F$2:$F$606,"16")</f>
        <v>0</v>
      </c>
      <c r="CM23" s="11">
        <f>SUMIFS('[1]Исходные данные'!$J$2:$J$606,'[1]Исходные данные'!$D$2:$D$606,"ОМ",'[1]Исходные данные'!$F$2:$F$606,"16")</f>
        <v>0</v>
      </c>
      <c r="CN23" s="11">
        <f>SUMIFS('[1]Исходные данные'!$I$2:$I$606,'[1]Исходные данные'!$D$2:$D$606,"оппоIR",'[1]Исходные данные'!$F$2:$F$606,"16")</f>
        <v>0</v>
      </c>
      <c r="CO23" s="11">
        <f>SUMIFS('[1]Исходные данные'!$J$2:$J$606,'[1]Исходные данные'!$D$2:$D$606,"оппоIR",'[1]Исходные данные'!$F$2:$F$606,"16")</f>
        <v>0</v>
      </c>
      <c r="CP23" s="11">
        <f>SUMIFS('[1]Исходные данные'!$I$2:$I$606,'[1]Исходные данные'!$D$2:$D$606,"Маркшейдер",'[1]Исходные данные'!$F$2:$F$606,"16")</f>
        <v>0</v>
      </c>
      <c r="CQ23" s="11">
        <f>SUMIFS('[1]Исходные данные'!$J$2:$J$606,'[1]Исходные данные'!$D$2:$D$606,"Маркшейдер",'[1]Исходные данные'!$F$2:$F$606,"16")</f>
        <v>0</v>
      </c>
      <c r="CR23" s="11">
        <f>SUMIFS('[1]Исходные данные'!$I$2:$I$606,'[1]Исходные данные'!$D$2:$D$606,"ПСО",'[1]Исходные данные'!$F$2:$F$606,"16")</f>
        <v>0</v>
      </c>
      <c r="CS23" s="11">
        <f>SUMIFS('[1]Исходные данные'!$J$2:$J$606,'[1]Исходные данные'!$D$2:$D$606,"ПСО",'[1]Исходные данные'!$F$2:$F$606,"16")</f>
        <v>0</v>
      </c>
    </row>
    <row r="24" spans="1:97" x14ac:dyDescent="0.25">
      <c r="A24" s="13" t="s">
        <v>93</v>
      </c>
      <c r="B24" s="11" t="s">
        <v>94</v>
      </c>
      <c r="C24" s="10">
        <f t="shared" si="0"/>
        <v>4</v>
      </c>
      <c r="D24" s="10">
        <f t="shared" si="1"/>
        <v>4</v>
      </c>
      <c r="E24" s="10">
        <f t="shared" si="1"/>
        <v>0</v>
      </c>
      <c r="F24" s="11">
        <f>SUMIFS('[1]Исходные данные'!$I$2:$I$606,'[1]Исходные данные'!$D$2:$D$606,"ЦДН-1",'[1]Исходные данные'!$F$2:$F$606,"40")</f>
        <v>0</v>
      </c>
      <c r="G24" s="11">
        <f>SUMIFS('[1]Исходные данные'!$J$2:$J$606,'[1]Исходные данные'!$D$2:$D$606,"ЦДН-1",'[1]Исходные данные'!$F$2:$F$606,"40")</f>
        <v>0</v>
      </c>
      <c r="H24" s="11">
        <f>SUMIFS('[1]Исходные данные'!$I$2:$I$606,'[1]Исходные данные'!$D$2:$D$606,"ЦДН-2",'[1]Исходные данные'!$F$2:$F$606,"40")</f>
        <v>0</v>
      </c>
      <c r="I24" s="11">
        <f>SUMIFS('[1]Исходные данные'!$J$2:$J$606,'[1]Исходные данные'!$D$2:$D$606,"ЦДН-2",'[1]Исходные данные'!$F$2:$F$606,"40")</f>
        <v>0</v>
      </c>
      <c r="J24" s="11">
        <f>SUMIFS('[1]Исходные данные'!$I$2:$I$606,'[1]Исходные данные'!$D$2:$D$606,"ЦДН-3",'[1]Исходные данные'!$F$2:$F$606,"40")</f>
        <v>0</v>
      </c>
      <c r="K24" s="11">
        <f>SUMIFS('[1]Исходные данные'!$J$2:$J$606,'[1]Исходные данные'!$D$2:$D$606,"ЦДН-3",'[1]Исходные данные'!$F$2:$F$606,"40")</f>
        <v>0</v>
      </c>
      <c r="L24" s="11">
        <f>SUMIFS('[1]Исходные данные'!$I$2:$I$606,'[1]Исходные данные'!$D$2:$D$606,"ЦППН",'[1]Исходные данные'!$F$2:$F$606,"40")</f>
        <v>0</v>
      </c>
      <c r="M24" s="11">
        <f>SUMIFS('[1]Исходные данные'!$J$2:$J$606,'[1]Исходные данные'!$D$2:$D$606,"ЦППН",'[1]Исходные данные'!$F$2:$F$606,"40")</f>
        <v>0</v>
      </c>
      <c r="N24" s="11">
        <f>SUMIFS('[1]Исходные данные'!$I$2:$I$606,'[1]Исходные данные'!$D$2:$D$606,"ЦППД",'[1]Исходные данные'!$F$2:$F$606,"40")</f>
        <v>0</v>
      </c>
      <c r="O24" s="11">
        <f>SUMIFS('[1]Исходные данные'!$J$2:$J$606,'[1]Исходные данные'!$D$2:$D$606,"ЦППД",'[1]Исходные данные'!$F$2:$F$606,"40")</f>
        <v>0</v>
      </c>
      <c r="P24" s="11">
        <f>SUMIFS('[1]Исходные данные'!$I$2:$I$606,'[1]Исходные данные'!$D$2:$D$606,"ЭЦ",'[1]Исходные данные'!$F$2:$F$606,"40")</f>
        <v>0</v>
      </c>
      <c r="Q24" s="11">
        <f>SUMIFS('[1]Исходные данные'!$J$2:$J$606,'[1]Исходные данные'!$D$2:$D$606,"ЭЦ",'[1]Исходные данные'!$F$2:$F$606,"40")</f>
        <v>0</v>
      </c>
      <c r="R24" s="11">
        <f>SUMIFS('[1]Исходные данные'!$I$2:$I$606,'[1]Исходные данные'!$D$2:$D$606,"ОКС",'[1]Исходные данные'!$F$2:$F$606,"40")</f>
        <v>0</v>
      </c>
      <c r="S24" s="11">
        <f>SUMIFS('[1]Исходные данные'!$J$2:$J$606,'[1]Исходные данные'!$D$2:$D$606,"ОКС",'[1]Исходные данные'!$F$2:$F$606,"40")</f>
        <v>0</v>
      </c>
      <c r="T24" s="11">
        <f>SUMIFS('[1]Исходные данные'!$I$2:$I$606,'[1]Исходные данные'!$D$2:$D$606,"РСЦ",'[1]Исходные данные'!$F$2:$F$606,"40")</f>
        <v>0</v>
      </c>
      <c r="U24" s="11">
        <f>SUMIFS('[1]Исходные данные'!$J$2:$J$606,'[1]Исходные данные'!$D$2:$D$606,"РСЦ",'[1]Исходные данные'!$F$2:$F$606,"40")</f>
        <v>0</v>
      </c>
      <c r="V24" s="11">
        <f>SUMIFS('[1]Исходные данные'!$I$2:$I$606,'[1]Исходные данные'!$D$2:$D$606,"ЦИТС",'[1]Исходные данные'!$F$2:$F$606,"40")</f>
        <v>0</v>
      </c>
      <c r="W24" s="11">
        <f>SUMIFS('[1]Исходные данные'!$J$2:$J$606,'[1]Исходные данные'!$D$2:$D$606,"ЦИТС",'[1]Исходные данные'!$F$2:$F$606,"40")</f>
        <v>0</v>
      </c>
      <c r="X24" s="11">
        <f>SUMIFS('[1]Исходные данные'!$I$2:$I$606,'[1]Исходные данные'!$D$2:$D$606,"ПРЦЭО",'[1]Исходные данные'!$F$2:$F$606,"40")</f>
        <v>0</v>
      </c>
      <c r="Y24" s="11">
        <f>SUMIFS('[1]Исходные данные'!$J$2:$J$606,'[1]Исходные данные'!$D$2:$D$606,"ПРЦЭО",'[1]Исходные данные'!$F$2:$F$606,"40")</f>
        <v>0</v>
      </c>
      <c r="Z24" s="11">
        <f>SUMIFS('[1]Исходные данные'!$I$2:$I$606,'[1]Исходные данные'!$D$2:$D$606,"ГЦ",'[1]Исходные данные'!$F$2:$F$606,"40")</f>
        <v>0</v>
      </c>
      <c r="AA24" s="11">
        <f>SUMIFS('[1]Исходные данные'!$J$2:$J$606,'[1]Исходные данные'!$D$2:$D$606,"ГЦ",'[1]Исходные данные'!$F$2:$F$606,"40")</f>
        <v>0</v>
      </c>
      <c r="AB24" s="11">
        <f>SUMIFS('[1]Исходные данные'!$I$2:$I$606,'[1]Исходные данные'!$D$2:$D$606,"ЦПП",'[1]Исходные данные'!$F$2:$F$606,"40")</f>
        <v>0</v>
      </c>
      <c r="AC24" s="11">
        <f>SUMIFS('[1]Исходные данные'!$J$2:$J$606,'[1]Исходные данные'!$D$2:$D$606,"ЦПП",'[1]Исходные данные'!$F$2:$F$606,"40")</f>
        <v>0</v>
      </c>
      <c r="AD24" s="11">
        <f>SUMIFS('[1]Исходные данные'!$I$2:$I$606,'[1]Исходные данные'!$D$2:$D$606,"БМТС",'[1]Исходные данные'!$F$2:$F$606,"40")</f>
        <v>0</v>
      </c>
      <c r="AE24" s="11">
        <f>SUMIFS('[1]Исходные данные'!$J$2:$J$606,'[1]Исходные данные'!$D$2:$D$606,"БМТС",'[1]Исходные данные'!$F$2:$F$606,"40")</f>
        <v>0</v>
      </c>
      <c r="AF24" s="11">
        <f>SUMIFS('[1]Исходные данные'!$I$2:$I$606,'[1]Исходные данные'!$D$2:$D$606,"УБиПКРС-1",'[1]Исходные данные'!$F$2:$F$606,"40")</f>
        <v>0</v>
      </c>
      <c r="AG24" s="11">
        <f>SUMIFS('[1]Исходные данные'!$J$2:$J$606,'[1]Исходные данные'!$D$2:$D$606,"УБиПКРС-1",'[1]Исходные данные'!$F$2:$F$606,"40")</f>
        <v>0</v>
      </c>
      <c r="AH24" s="11">
        <f>SUMIFS('[1]Исходные данные'!$I$2:$I$606,'[1]Исходные данные'!$D$2:$D$606,"УБиПКРС-2",'[1]Исходные данные'!$F$2:$F$606,"40")</f>
        <v>0</v>
      </c>
      <c r="AI24" s="11">
        <f>SUMIFS('[1]Исходные данные'!$J$2:$J$606,'[1]Исходные данные'!$D$2:$D$606,"УБиПКРС-2",'[1]Исходные данные'!$F$2:$F$606,"40")</f>
        <v>0</v>
      </c>
      <c r="AJ24" s="11">
        <f>SUMIFS('[1]Исходные данные'!$I$2:$I$606,'[1]Исходные данные'!$D$2:$D$606,"ДТТ-1",'[1]Исходные данные'!$F$2:$F$606,"40")</f>
        <v>0</v>
      </c>
      <c r="AK24" s="11">
        <f>SUMIFS('[1]Исходные данные'!$J$2:$J$606,'[1]Исходные данные'!$D$2:$D$606,"ДТТ-1",'[1]Исходные данные'!$F$2:$F$606,"40")</f>
        <v>0</v>
      </c>
      <c r="AL24" s="11">
        <f>SUMIFS('[1]Исходные данные'!$I$2:$I$606,'[1]Исходные данные'!$D$2:$D$606,"ЦНИПР",'[1]Исходные данные'!$F$2:$F$606,"40")</f>
        <v>0</v>
      </c>
      <c r="AM24" s="11">
        <f>SUMIFS('[1]Исходные данные'!$J$2:$J$606,'[1]Исходные данные'!$D$2:$D$606,"ЦНИПР",'[1]Исходные данные'!$F$2:$F$606,"40")</f>
        <v>0</v>
      </c>
      <c r="AN24" s="11">
        <f>SUMIFS('[1]Исходные данные'!$I$2:$I$606,'[1]Исходные данные'!$D$2:$D$606,"ОБиПКРС",'[1]Исходные данные'!$F$2:$F$606,"40")</f>
        <v>0</v>
      </c>
      <c r="AO24" s="11">
        <f>SUMIFS('[1]Исходные данные'!$J$2:$J$606,'[1]Исходные данные'!$D$2:$D$606,"ОБиПКРС",'[1]Исходные данные'!$F$2:$F$606,"40")</f>
        <v>0</v>
      </c>
      <c r="AP24" s="11">
        <f>SUMIFS('[1]Исходные данные'!$I$2:$I$606,'[1]Исходные данные'!$D$2:$D$606,"ЦАП",'[1]Исходные данные'!$F$2:$F$606,"40")</f>
        <v>0</v>
      </c>
      <c r="AQ24" s="11">
        <f>SUMIFS('[1]Исходные данные'!$J$2:$J$606,'[1]Исходные данные'!$D$2:$D$606,"ЦАП",'[1]Исходные данные'!$F$2:$F$606,"40")</f>
        <v>0</v>
      </c>
      <c r="AR24" s="11">
        <f>SUMIFS('[1]Исходные данные'!$I$2:$I$606,'[1]Исходные данные'!$D$2:$D$606,"ГООС",'[1]Исходные данные'!$F$2:$F$606,"40")</f>
        <v>4</v>
      </c>
      <c r="AS24" s="11">
        <f>SUMIFS('[1]Исходные данные'!$J$2:$J$606,'[1]Исходные данные'!$D$2:$D$606,"ГООС",'[1]Исходные данные'!$F$2:$F$606,"40")</f>
        <v>0</v>
      </c>
      <c r="AT24" s="11">
        <f>SUMIFS('[1]Исходные данные'!$I$2:$I$606,'[1]Исходные данные'!$D$2:$D$606,"Ақкетік",'[1]Исходные данные'!$F$2:$F$606,"40")</f>
        <v>0</v>
      </c>
      <c r="AU24" s="11">
        <f>SUMIFS('[1]Исходные данные'!$J$2:$J$606,'[1]Исходные данные'!$D$2:$D$606,"Ақкетік",'[1]Исходные данные'!$F$2:$F$606,"40")</f>
        <v>0</v>
      </c>
      <c r="AV24" s="11">
        <f>SUMIFS('[1]Исходные данные'!$I$2:$I$606,'[1]Исходные данные'!$D$2:$D$606,"Нейрон",'[1]Исходные данные'!$F$2:$F$606,"40")</f>
        <v>0</v>
      </c>
      <c r="AW24" s="11">
        <f>SUMIFS('[1]Исходные данные'!$J$2:$J$606,'[1]Исходные данные'!$D$2:$D$606,"Нейрон",'[1]Исходные данные'!$F$2:$F$606,"40")</f>
        <v>0</v>
      </c>
      <c r="AX24" s="11">
        <f>SUMIFS('[1]Исходные данные'!$I$2:$I$606,'[1]Исходные данные'!$D$2:$D$606,"Бурение",'[1]Исходные данные'!$F$2:$F$606,"40")</f>
        <v>0</v>
      </c>
      <c r="AY24" s="11">
        <f>SUMIFS('[1]Исходные данные'!$J$2:$J$606,'[1]Исходные данные'!$D$2:$D$606,"Бурение",'[1]Исходные данные'!$F$2:$F$606,"40")</f>
        <v>0</v>
      </c>
      <c r="AZ24" s="11">
        <f>SUMIFS('[1]Исходные данные'!$I$2:$I$606,'[1]Исходные данные'!$D$2:$D$606,"ЦТВС",'[1]Исходные данные'!$F$2:$F$606,"40")</f>
        <v>0</v>
      </c>
      <c r="BA24" s="11">
        <f>SUMIFS('[1]Исходные данные'!$J$2:$J$606,'[1]Исходные данные'!$D$2:$D$606,"ЦТВС",'[1]Исходные данные'!$F$2:$F$606,"40")</f>
        <v>0</v>
      </c>
      <c r="BB24" s="11">
        <f>SUMIFS('[1]Исходные данные'!$I$2:$I$606,'[1]Исходные данные'!$D$2:$D$606,"ТБ",'[1]Исходные данные'!$F$2:$F$606,"40")</f>
        <v>0</v>
      </c>
      <c r="BC24" s="11">
        <f>SUMIFS('[1]Исходные данные'!$J$2:$J$606,'[1]Исходные данные'!$D$2:$D$606,"ТБ",'[1]Исходные данные'!$F$2:$F$606,"40")</f>
        <v>0</v>
      </c>
      <c r="BD24" s="11">
        <f>SUMIFS('[1]Исходные данные'!$I$2:$I$606,'[1]Исходные данные'!$D$2:$D$606,"ОТДН",'[1]Исходные данные'!$F$2:$F$606,"40")</f>
        <v>0</v>
      </c>
      <c r="BE24" s="11">
        <f>SUMIFS('[1]Исходные данные'!$J$2:$J$606,'[1]Исходные данные'!$D$2:$D$606,"ОТДН",'[1]Исходные данные'!$F$2:$F$606,"40")</f>
        <v>0</v>
      </c>
      <c r="BF24" s="11">
        <f>SUMIFS('[1]Исходные данные'!$I$2:$I$606,'[1]Исходные данные'!$D$2:$D$606,"ПЧ-Семсер",'[1]Исходные данные'!$F$2:$F$606,"40")</f>
        <v>0</v>
      </c>
      <c r="BG24" s="11">
        <f>SUMIFS('[1]Исходные данные'!$J$2:$J$606,'[1]Исходные данные'!$D$2:$D$606,"ПЧ-Семсер",'[1]Исходные данные'!$F$2:$F$606,"40")</f>
        <v>0</v>
      </c>
      <c r="BH24" s="11">
        <f>SUMIFS('[1]Исходные данные'!$I$2:$I$606,'[1]Исходные данные'!$D$2:$D$606,"ПРЦЭО(2)",'[1]Исходные данные'!$F$2:$F$606,"40")</f>
        <v>0</v>
      </c>
      <c r="BI24" s="11">
        <f>SUMIFS('[1]Исходные данные'!$J$2:$J$606,'[1]Исходные данные'!$D$2:$D$606,"ПРЦЭО(2)",'[1]Исходные данные'!$F$2:$F$606,"40")</f>
        <v>0</v>
      </c>
      <c r="BJ24" s="11">
        <f>SUMIFS('[1]Исходные данные'!$I$2:$I$606,'[1]Исходные данные'!$D$2:$D$606,"БД",'[1]Исходные данные'!$F$2:$F$606,"40")</f>
        <v>0</v>
      </c>
      <c r="BK24" s="11">
        <f>SUMIFS('[1]Исходные данные'!$J$2:$J$606,'[1]Исходные данные'!$D$2:$D$606,"БД",'[1]Исходные данные'!$F$2:$F$606,"40")</f>
        <v>0</v>
      </c>
      <c r="BL24" s="11">
        <f>SUMIFS('[1]Исходные данные'!$I$2:$I$606,'[1]Исходные данные'!$D$2:$D$606,"ОГиР",'[1]Исходные данные'!$F$2:$F$606,"40")</f>
        <v>0</v>
      </c>
      <c r="BM24" s="11">
        <f>SUMIFS('[1]Исходные данные'!$J$2:$J$606,'[1]Исходные данные'!$D$2:$D$606,"ОГиР",'[1]Исходные данные'!$F$2:$F$606,"40")</f>
        <v>0</v>
      </c>
      <c r="BN24" s="11">
        <f>SUMIFS('[1]Исходные данные'!$I$2:$I$606,'[1]Исходные данные'!$D$2:$D$606,"ГСРиВК",'[1]Исходные данные'!$F$2:$F$606,"40")</f>
        <v>0</v>
      </c>
      <c r="BO24" s="11">
        <f>SUMIFS('[1]Исходные данные'!$J$2:$J$606,'[1]Исходные данные'!$D$2:$D$606,"ГСРиВК",'[1]Исходные данные'!$F$2:$F$606,"40")</f>
        <v>0</v>
      </c>
      <c r="BP24" s="11">
        <f>SUMIFS('[1]Исходные данные'!$I$2:$I$606,'[1]Исходные данные'!$D$2:$D$606,"МПГУ",'[1]Исходные данные'!$F$2:$F$606,"40")</f>
        <v>0</v>
      </c>
      <c r="BQ24" s="11">
        <f>SUMIFS('[1]Исходные данные'!$J$2:$J$606,'[1]Исходные данные'!$D$2:$D$606,"МПГУ",'[1]Исходные данные'!$F$2:$F$606,"40")</f>
        <v>0</v>
      </c>
      <c r="BR24" s="11">
        <f>SUMIFS('[1]Исходные данные'!$I$2:$I$606,'[1]Исходные данные'!$D$2:$D$606,"БПО 2",'[1]Исходные данные'!$F$2:$F$606,"40")</f>
        <v>0</v>
      </c>
      <c r="BS24" s="11">
        <f>SUMIFS('[1]Исходные данные'!$J$2:$J$606,'[1]Исходные данные'!$D$2:$D$606,"БПО 2",'[1]Исходные данные'!$F$2:$F$606,"40")</f>
        <v>0</v>
      </c>
      <c r="BT24" s="11">
        <f>SUMIFS('[1]Исходные данные'!$I$2:$I$606,'[1]Исходные данные'!$D$2:$D$606,"ЛД",'[1]Исходные данные'!$F$2:$F$606,"40")</f>
        <v>0</v>
      </c>
      <c r="BU24" s="11">
        <f>SUMIFS('[1]Исходные данные'!$J$2:$J$606,'[1]Исходные данные'!$D$2:$D$606,"ЛД",'[1]Исходные данные'!$F$2:$F$606,"40")</f>
        <v>0</v>
      </c>
      <c r="BV24" s="11">
        <f>SUMIFS('[1]Исходные данные'!$I$2:$I$606,'[1]Исходные данные'!$D$2:$D$606,"Отделкадр",'[1]Исходные данные'!$F$2:$F$606,"40")</f>
        <v>0</v>
      </c>
      <c r="BW24" s="11">
        <f>SUMIFS('[1]Исходные данные'!$J$2:$J$606,'[1]Исходные данные'!$D$2:$D$606,"Отделкадр",'[1]Исходные данные'!$F$2:$F$606,"40")</f>
        <v>0</v>
      </c>
      <c r="BX24" s="11">
        <f>SUMIFS('[1]Исходные данные'!$I$2:$I$606,'[1]Исходные данные'!$D$2:$D$606,"ЦИТС.",'[1]Исходные данные'!$F$2:$F$606,"40")</f>
        <v>0</v>
      </c>
      <c r="BY24" s="11">
        <f>SUMIFS('[1]Исходные данные'!$J$2:$J$606,'[1]Исходные данные'!$D$2:$D$606,"ЦИТС.",'[1]Исходные данные'!$F$2:$F$606,"40")</f>
        <v>0</v>
      </c>
      <c r="BZ24" s="11">
        <f>SUMIFS('[1]Исходные данные'!$I$2:$I$606,'[1]Исходные данные'!$D$2:$D$606,"ОБО",'[1]Исходные данные'!$F$2:$F$606,"40")</f>
        <v>0</v>
      </c>
      <c r="CA24" s="11">
        <f>SUMIFS('[1]Исходные данные'!$J$2:$J$606,'[1]Исходные данные'!$D$2:$D$606,"ОБО",'[1]Исходные данные'!$F$2:$F$606,"40")</f>
        <v>0</v>
      </c>
      <c r="CB24" s="11">
        <f>SUMIFS('[1]Исходные данные'!$I$2:$I$606,'[1]Исходные данные'!$D$2:$D$606,"УЖЭО",'[1]Исходные данные'!$F$2:$F$606,"40")</f>
        <v>0</v>
      </c>
      <c r="CC24" s="11">
        <f>SUMIFS('[1]Исходные данные'!$J$2:$J$606,'[1]Исходные данные'!$D$2:$D$606,"УЖЭО",'[1]Исходные данные'!$F$2:$F$606,"40")</f>
        <v>0</v>
      </c>
      <c r="CD24" s="11">
        <f>SUMIFS('[1]Исходные данные'!$I$2:$I$606,'[1]Исходные данные'!$D$2:$D$606,"Мухтар/Хамит",'[1]Исходные данные'!$F$2:$F$606,"40")</f>
        <v>0</v>
      </c>
      <c r="CE24" s="11">
        <f>SUMIFS('[1]Исходные данные'!$J$2:$J$606,'[1]Исходные данные'!$D$2:$D$606,"Мухтар/Хамит",'[1]Исходные данные'!$F$2:$F$606,"40")</f>
        <v>0</v>
      </c>
      <c r="CF24" s="11">
        <f>SUMIFS('[1]Исходные данные'!$I$2:$I$606,'[1]Исходные данные'!$D$2:$D$606,"ОБО-    СБ",'[1]Исходные данные'!$F$2:$F$606,"40")</f>
        <v>0</v>
      </c>
      <c r="CG24" s="11">
        <f>SUMIFS('[1]Исходные данные'!$J$2:$J$606,'[1]Исходные данные'!$D$2:$D$606,"ОБО-    СБ",'[1]Исходные данные'!$F$2:$F$606,"40")</f>
        <v>0</v>
      </c>
      <c r="CH24" s="11">
        <f>SUMIFS('[1]Исходные данные'!$I$2:$I$606,'[1]Исходные данные'!$D$2:$D$606,"РМУ 2",'[1]Исходные данные'!$F$2:$F$606,"40")</f>
        <v>0</v>
      </c>
      <c r="CI24" s="11">
        <f>SUMIFS('[1]Исходные данные'!$J$2:$J$606,'[1]Исходные данные'!$D$2:$D$606,"РМУ 2",'[1]Исходные данные'!$F$2:$F$606,"40")</f>
        <v>0</v>
      </c>
      <c r="CJ24" s="11">
        <f>SUMIFS('[1]Исходные данные'!$I$2:$I$606,'[1]Исходные данные'!$D$2:$D$606,"ГАПиИТ",'[1]Исходные данные'!$F$2:$F$606,"40")</f>
        <v>0</v>
      </c>
      <c r="CK24" s="11">
        <f>SUMIFS('[1]Исходные данные'!$J$2:$J$606,'[1]Исходные данные'!$D$2:$D$606,"ГАПиИТ",'[1]Исходные данные'!$F$2:$F$606,"40")</f>
        <v>0</v>
      </c>
      <c r="CL24" s="11">
        <f>SUMIFS('[1]Исходные данные'!$I$2:$I$606,'[1]Исходные данные'!$D$2:$D$606,"ОМ",'[1]Исходные данные'!$F$2:$F$606,"40")</f>
        <v>0</v>
      </c>
      <c r="CM24" s="11">
        <f>SUMIFS('[1]Исходные данные'!$J$2:$J$606,'[1]Исходные данные'!$D$2:$D$606,"ОМ",'[1]Исходные данные'!$F$2:$F$606,"40")</f>
        <v>0</v>
      </c>
      <c r="CN24" s="11">
        <f>SUMIFS('[1]Исходные данные'!$I$2:$I$606,'[1]Исходные данные'!$D$2:$D$606,"оппоIR",'[1]Исходные данные'!$F$2:$F$606,"40")</f>
        <v>0</v>
      </c>
      <c r="CO24" s="11">
        <f>SUMIFS('[1]Исходные данные'!$J$2:$J$606,'[1]Исходные данные'!$D$2:$D$606,"оппоIR",'[1]Исходные данные'!$F$2:$F$606,"40")</f>
        <v>0</v>
      </c>
      <c r="CP24" s="11">
        <f>SUMIFS('[1]Исходные данные'!$I$2:$I$606,'[1]Исходные данные'!$D$2:$D$606,"Маркшейдер",'[1]Исходные данные'!$F$2:$F$606,"40")</f>
        <v>0</v>
      </c>
      <c r="CQ24" s="11">
        <f>SUMIFS('[1]Исходные данные'!$J$2:$J$606,'[1]Исходные данные'!$D$2:$D$606,"Маркшейдер",'[1]Исходные данные'!$F$2:$F$606,"40")</f>
        <v>0</v>
      </c>
      <c r="CR24" s="11">
        <f>SUMIFS('[1]Исходные данные'!$I$2:$I$606,'[1]Исходные данные'!$D$2:$D$606,"ПСО",'[1]Исходные данные'!$F$2:$F$606,"40")</f>
        <v>0</v>
      </c>
      <c r="CS24" s="11">
        <f>SUMIFS('[1]Исходные данные'!$J$2:$J$606,'[1]Исходные данные'!$D$2:$D$606,"ПСО",'[1]Исходные данные'!$F$2:$F$606,"40")</f>
        <v>0</v>
      </c>
    </row>
    <row r="25" spans="1:97" x14ac:dyDescent="0.25">
      <c r="A25" s="13" t="s">
        <v>95</v>
      </c>
      <c r="B25" s="11" t="s">
        <v>96</v>
      </c>
      <c r="C25" s="10">
        <f t="shared" si="0"/>
        <v>4</v>
      </c>
      <c r="D25" s="10">
        <f t="shared" si="1"/>
        <v>4</v>
      </c>
      <c r="E25" s="10">
        <f t="shared" si="1"/>
        <v>0</v>
      </c>
      <c r="F25" s="11">
        <f>SUMIFS('[1]Исходные данные'!$I$2:$I$606,'[1]Исходные данные'!$D$2:$D$606,"ЦДН-1",'[1]Исходные данные'!$F$2:$F$606,"56")</f>
        <v>0</v>
      </c>
      <c r="G25" s="11">
        <f>SUMIFS('[1]Исходные данные'!$J$2:$J$606,'[1]Исходные данные'!$D$2:$D$606,"ЦДН-1",'[1]Исходные данные'!$F$2:$F$606,"56")</f>
        <v>0</v>
      </c>
      <c r="H25" s="11">
        <f>SUMIFS('[1]Исходные данные'!$I$2:$I$606,'[1]Исходные данные'!$D$2:$D$606,"ЦДН-2",'[1]Исходные данные'!$F$2:$F$606,"56")</f>
        <v>0</v>
      </c>
      <c r="I25" s="11">
        <f>SUMIFS('[1]Исходные данные'!$J$2:$J$606,'[1]Исходные данные'!$D$2:$D$606,"ЦДН-2",'[1]Исходные данные'!$F$2:$F$606,"56")</f>
        <v>0</v>
      </c>
      <c r="J25" s="11">
        <f>SUMIFS('[1]Исходные данные'!$I$2:$I$606,'[1]Исходные данные'!$D$2:$D$606,"ЦДН-3",'[1]Исходные данные'!$F$2:$F$606,"56")</f>
        <v>0</v>
      </c>
      <c r="K25" s="11">
        <f>SUMIFS('[1]Исходные данные'!$J$2:$J$606,'[1]Исходные данные'!$D$2:$D$606,"ЦДН-3",'[1]Исходные данные'!$F$2:$F$606,"56")</f>
        <v>0</v>
      </c>
      <c r="L25" s="11">
        <f>SUMIFS('[1]Исходные данные'!$I$2:$I$606,'[1]Исходные данные'!$D$2:$D$606,"ЦППН",'[1]Исходные данные'!$F$2:$F$606,"56")</f>
        <v>0</v>
      </c>
      <c r="M25" s="11">
        <f>SUMIFS('[1]Исходные данные'!$J$2:$J$606,'[1]Исходные данные'!$D$2:$D$606,"ЦППН",'[1]Исходные данные'!$F$2:$F$606,"56")</f>
        <v>0</v>
      </c>
      <c r="N25" s="11">
        <f>SUMIFS('[1]Исходные данные'!$I$2:$I$606,'[1]Исходные данные'!$D$2:$D$606,"ЦППД",'[1]Исходные данные'!$F$2:$F$606,"56")</f>
        <v>0</v>
      </c>
      <c r="O25" s="11">
        <f>SUMIFS('[1]Исходные данные'!$J$2:$J$606,'[1]Исходные данные'!$D$2:$D$606,"ЦППД",'[1]Исходные данные'!$F$2:$F$606,"56")</f>
        <v>0</v>
      </c>
      <c r="P25" s="11">
        <f>SUMIFS('[1]Исходные данные'!$I$2:$I$606,'[1]Исходные данные'!$D$2:$D$606,"ЭЦ",'[1]Исходные данные'!$F$2:$F$606,"56")</f>
        <v>0</v>
      </c>
      <c r="Q25" s="11">
        <f>SUMIFS('[1]Исходные данные'!$J$2:$J$606,'[1]Исходные данные'!$D$2:$D$606,"ЭЦ",'[1]Исходные данные'!$F$2:$F$606,"56")</f>
        <v>0</v>
      </c>
      <c r="R25" s="11">
        <f>SUMIFS('[1]Исходные данные'!$I$2:$I$606,'[1]Исходные данные'!$D$2:$D$606,"ОКС",'[1]Исходные данные'!$F$2:$F$606,"56")</f>
        <v>3</v>
      </c>
      <c r="S25" s="11">
        <f>SUMIFS('[1]Исходные данные'!$J$2:$J$606,'[1]Исходные данные'!$D$2:$D$606,"ОКС",'[1]Исходные данные'!$F$2:$F$606,"56")</f>
        <v>0</v>
      </c>
      <c r="T25" s="11">
        <f>SUMIFS('[1]Исходные данные'!$I$2:$I$606,'[1]Исходные данные'!$D$2:$D$606,"РСЦ",'[1]Исходные данные'!$F$2:$F$606,"56")</f>
        <v>0</v>
      </c>
      <c r="U25" s="11">
        <f>SUMIFS('[1]Исходные данные'!$J$2:$J$606,'[1]Исходные данные'!$D$2:$D$606,"РСЦ",'[1]Исходные данные'!$F$2:$F$606,"56")</f>
        <v>0</v>
      </c>
      <c r="V25" s="11">
        <f>SUMIFS('[1]Исходные данные'!$I$2:$I$606,'[1]Исходные данные'!$D$2:$D$606,"ЦИТС",'[1]Исходные данные'!$F$2:$F$606,"56")</f>
        <v>0</v>
      </c>
      <c r="W25" s="11">
        <f>SUMIFS('[1]Исходные данные'!$J$2:$J$606,'[1]Исходные данные'!$D$2:$D$606,"ЦИТС",'[1]Исходные данные'!$F$2:$F$606,"56")</f>
        <v>0</v>
      </c>
      <c r="X25" s="11">
        <f>SUMIFS('[1]Исходные данные'!$I$2:$I$606,'[1]Исходные данные'!$D$2:$D$606,"ПРЦЭО",'[1]Исходные данные'!$F$2:$F$606,"56")</f>
        <v>0</v>
      </c>
      <c r="Y25" s="11">
        <f>SUMIFS('[1]Исходные данные'!$J$2:$J$606,'[1]Исходные данные'!$D$2:$D$606,"ПРЦЭО",'[1]Исходные данные'!$F$2:$F$606,"56")</f>
        <v>0</v>
      </c>
      <c r="Z25" s="11">
        <f>SUMIFS('[1]Исходные данные'!$I$2:$I$606,'[1]Исходные данные'!$D$2:$D$606,"ГЦ",'[1]Исходные данные'!$F$2:$F$606,"56")</f>
        <v>0</v>
      </c>
      <c r="AA25" s="11">
        <f>SUMIFS('[1]Исходные данные'!$J$2:$J$606,'[1]Исходные данные'!$D$2:$D$606,"ГЦ",'[1]Исходные данные'!$F$2:$F$606,"56")</f>
        <v>0</v>
      </c>
      <c r="AB25" s="11">
        <f>SUMIFS('[1]Исходные данные'!$I$2:$I$606,'[1]Исходные данные'!$D$2:$D$606,"ЦПП",'[1]Исходные данные'!$F$2:$F$606,"56")</f>
        <v>0</v>
      </c>
      <c r="AC25" s="11">
        <f>SUMIFS('[1]Исходные данные'!$J$2:$J$606,'[1]Исходные данные'!$D$2:$D$606,"ЦПП",'[1]Исходные данные'!$F$2:$F$606,"56")</f>
        <v>0</v>
      </c>
      <c r="AD25" s="11">
        <f>SUMIFS('[1]Исходные данные'!$I$2:$I$606,'[1]Исходные данные'!$D$2:$D$606,"БМТС",'[1]Исходные данные'!$F$2:$F$606,"56")</f>
        <v>0</v>
      </c>
      <c r="AE25" s="11">
        <f>SUMIFS('[1]Исходные данные'!$J$2:$J$606,'[1]Исходные данные'!$D$2:$D$606,"БМТС",'[1]Исходные данные'!$F$2:$F$606,"56")</f>
        <v>0</v>
      </c>
      <c r="AF25" s="11">
        <f>SUMIFS('[1]Исходные данные'!$I$2:$I$606,'[1]Исходные данные'!$D$2:$D$606,"УБиПКРС-1",'[1]Исходные данные'!$F$2:$F$606,"56")</f>
        <v>0</v>
      </c>
      <c r="AG25" s="11">
        <f>SUMIFS('[1]Исходные данные'!$J$2:$J$606,'[1]Исходные данные'!$D$2:$D$606,"УБиПКРС-1",'[1]Исходные данные'!$F$2:$F$606,"56")</f>
        <v>0</v>
      </c>
      <c r="AH25" s="11">
        <f>SUMIFS('[1]Исходные данные'!$I$2:$I$606,'[1]Исходные данные'!$D$2:$D$606,"УБиПКРС-2",'[1]Исходные данные'!$F$2:$F$606,"56")</f>
        <v>0</v>
      </c>
      <c r="AI25" s="11">
        <f>SUMIFS('[1]Исходные данные'!$J$2:$J$606,'[1]Исходные данные'!$D$2:$D$606,"УБиПКРС-2",'[1]Исходные данные'!$F$2:$F$606,"56")</f>
        <v>0</v>
      </c>
      <c r="AJ25" s="11">
        <f>SUMIFS('[1]Исходные данные'!$I$2:$I$606,'[1]Исходные данные'!$D$2:$D$606,"ДТТ-1",'[1]Исходные данные'!$F$2:$F$606,"56")</f>
        <v>0</v>
      </c>
      <c r="AK25" s="11">
        <f>SUMIFS('[1]Исходные данные'!$J$2:$J$606,'[1]Исходные данные'!$D$2:$D$606,"ДТТ-1",'[1]Исходные данные'!$F$2:$F$606,"56")</f>
        <v>0</v>
      </c>
      <c r="AL25" s="11">
        <f>SUMIFS('[1]Исходные данные'!$I$2:$I$606,'[1]Исходные данные'!$D$2:$D$606,"ЦНИПР",'[1]Исходные данные'!$F$2:$F$606,"56")</f>
        <v>0</v>
      </c>
      <c r="AM25" s="11">
        <f>SUMIFS('[1]Исходные данные'!$J$2:$J$606,'[1]Исходные данные'!$D$2:$D$606,"ЦНИПР",'[1]Исходные данные'!$F$2:$F$606,"56")</f>
        <v>0</v>
      </c>
      <c r="AN25" s="11">
        <f>SUMIFS('[1]Исходные данные'!$I$2:$I$606,'[1]Исходные данные'!$D$2:$D$606,"ОБиПКРС",'[1]Исходные данные'!$F$2:$F$606,"56")</f>
        <v>0</v>
      </c>
      <c r="AO25" s="11">
        <f>SUMIFS('[1]Исходные данные'!$J$2:$J$606,'[1]Исходные данные'!$D$2:$D$606,"ОБиПКРС",'[1]Исходные данные'!$F$2:$F$606,"56")</f>
        <v>0</v>
      </c>
      <c r="AP25" s="11">
        <f>SUMIFS('[1]Исходные данные'!$I$2:$I$606,'[1]Исходные данные'!$D$2:$D$606,"ЦАП",'[1]Исходные данные'!$F$2:$F$606,"56")</f>
        <v>0</v>
      </c>
      <c r="AQ25" s="11">
        <f>SUMIFS('[1]Исходные данные'!$J$2:$J$606,'[1]Исходные данные'!$D$2:$D$606,"ЦАП",'[1]Исходные данные'!$F$2:$F$606,"56")</f>
        <v>0</v>
      </c>
      <c r="AR25" s="11">
        <f>SUMIFS('[1]Исходные данные'!$I$2:$I$606,'[1]Исходные данные'!$D$2:$D$606,"ГООС",'[1]Исходные данные'!$F$2:$F$606,"56")</f>
        <v>0</v>
      </c>
      <c r="AS25" s="11">
        <f>SUMIFS('[1]Исходные данные'!$J$2:$J$606,'[1]Исходные данные'!$D$2:$D$606,"ГООС",'[1]Исходные данные'!$F$2:$F$606,"56")</f>
        <v>0</v>
      </c>
      <c r="AT25" s="11">
        <f>SUMIFS('[1]Исходные данные'!$I$2:$I$606,'[1]Исходные данные'!$D$2:$D$606,"Ақкетік",'[1]Исходные данные'!$F$2:$F$606,"56")</f>
        <v>1</v>
      </c>
      <c r="AU25" s="11">
        <f>SUMIFS('[1]Исходные данные'!$J$2:$J$606,'[1]Исходные данные'!$D$2:$D$606,"Ақкетік",'[1]Исходные данные'!$F$2:$F$606,"56")</f>
        <v>0</v>
      </c>
      <c r="AV25" s="11">
        <f>SUMIFS('[1]Исходные данные'!$I$2:$I$606,'[1]Исходные данные'!$D$2:$D$606,"Нейрон",'[1]Исходные данные'!$F$2:$F$606,"56")</f>
        <v>0</v>
      </c>
      <c r="AW25" s="11">
        <f>SUMIFS('[1]Исходные данные'!$J$2:$J$606,'[1]Исходные данные'!$D$2:$D$606,"Нейрон",'[1]Исходные данные'!$F$2:$F$606,"56")</f>
        <v>0</v>
      </c>
      <c r="AX25" s="11">
        <f>SUMIFS('[1]Исходные данные'!$I$2:$I$606,'[1]Исходные данные'!$D$2:$D$606,"Бурение",'[1]Исходные данные'!$F$2:$F$606,"56")</f>
        <v>0</v>
      </c>
      <c r="AY25" s="11">
        <f>SUMIFS('[1]Исходные данные'!$J$2:$J$606,'[1]Исходные данные'!$D$2:$D$606,"Бурение",'[1]Исходные данные'!$F$2:$F$606,"56")</f>
        <v>0</v>
      </c>
      <c r="AZ25" s="11">
        <f>SUMIFS('[1]Исходные данные'!$I$2:$I$606,'[1]Исходные данные'!$D$2:$D$606,"ЦТВС",'[1]Исходные данные'!$F$2:$F$606,"56")</f>
        <v>0</v>
      </c>
      <c r="BA25" s="11">
        <f>SUMIFS('[1]Исходные данные'!$J$2:$J$606,'[1]Исходные данные'!$D$2:$D$606,"ЦТВС",'[1]Исходные данные'!$F$2:$F$606,"56")</f>
        <v>0</v>
      </c>
      <c r="BB25" s="11">
        <f>SUMIFS('[1]Исходные данные'!$I$2:$I$606,'[1]Исходные данные'!$D$2:$D$606,"ТБ",'[1]Исходные данные'!$F$2:$F$606,"56")</f>
        <v>0</v>
      </c>
      <c r="BC25" s="11">
        <f>SUMIFS('[1]Исходные данные'!$J$2:$J$606,'[1]Исходные данные'!$D$2:$D$606,"ТБ",'[1]Исходные данные'!$F$2:$F$606,"56")</f>
        <v>0</v>
      </c>
      <c r="BD25" s="11">
        <f>SUMIFS('[1]Исходные данные'!$I$2:$I$606,'[1]Исходные данные'!$D$2:$D$606,"ОТДН",'[1]Исходные данные'!$F$2:$F$606,"56")</f>
        <v>0</v>
      </c>
      <c r="BE25" s="11">
        <f>SUMIFS('[1]Исходные данные'!$J$2:$J$606,'[1]Исходные данные'!$D$2:$D$606,"ОТДН",'[1]Исходные данные'!$F$2:$F$606,"56")</f>
        <v>0</v>
      </c>
      <c r="BF25" s="11">
        <f>SUMIFS('[1]Исходные данные'!$I$2:$I$606,'[1]Исходные данные'!$D$2:$D$606,"ПЧ-Семсер",'[1]Исходные данные'!$F$2:$F$606,"56")</f>
        <v>0</v>
      </c>
      <c r="BG25" s="11">
        <f>SUMIFS('[1]Исходные данные'!$J$2:$J$606,'[1]Исходные данные'!$D$2:$D$606,"ПЧ-Семсер",'[1]Исходные данные'!$F$2:$F$606,"56")</f>
        <v>0</v>
      </c>
      <c r="BH25" s="11">
        <f>SUMIFS('[1]Исходные данные'!$I$2:$I$606,'[1]Исходные данные'!$D$2:$D$606,"ПРЦЭО(2)",'[1]Исходные данные'!$F$2:$F$606,"56")</f>
        <v>0</v>
      </c>
      <c r="BI25" s="11">
        <f>SUMIFS('[1]Исходные данные'!$J$2:$J$606,'[1]Исходные данные'!$D$2:$D$606,"ПРЦЭО(2)",'[1]Исходные данные'!$F$2:$F$606,"56")</f>
        <v>0</v>
      </c>
      <c r="BJ25" s="11">
        <f>SUMIFS('[1]Исходные данные'!$I$2:$I$606,'[1]Исходные данные'!$D$2:$D$606,"БД",'[1]Исходные данные'!$F$2:$F$606,"56")</f>
        <v>0</v>
      </c>
      <c r="BK25" s="11">
        <f>SUMIFS('[1]Исходные данные'!$J$2:$J$606,'[1]Исходные данные'!$D$2:$D$606,"БД",'[1]Исходные данные'!$F$2:$F$606,"56")</f>
        <v>0</v>
      </c>
      <c r="BL25" s="11">
        <f>SUMIFS('[1]Исходные данные'!$I$2:$I$606,'[1]Исходные данные'!$D$2:$D$606,"ОГиР",'[1]Исходные данные'!$F$2:$F$606,"56")</f>
        <v>0</v>
      </c>
      <c r="BM25" s="11">
        <f>SUMIFS('[1]Исходные данные'!$J$2:$J$606,'[1]Исходные данные'!$D$2:$D$606,"ОГиР",'[1]Исходные данные'!$F$2:$F$606,"56")</f>
        <v>0</v>
      </c>
      <c r="BN25" s="11">
        <f>SUMIFS('[1]Исходные данные'!$I$2:$I$606,'[1]Исходные данные'!$D$2:$D$606,"ГСРиВК",'[1]Исходные данные'!$F$2:$F$606,"56")</f>
        <v>0</v>
      </c>
      <c r="BO25" s="11">
        <f>SUMIFS('[1]Исходные данные'!$J$2:$J$606,'[1]Исходные данные'!$D$2:$D$606,"ГСРиВК",'[1]Исходные данные'!$F$2:$F$606,"56")</f>
        <v>0</v>
      </c>
      <c r="BP25" s="11">
        <f>SUMIFS('[1]Исходные данные'!$I$2:$I$606,'[1]Исходные данные'!$D$2:$D$606,"МПГУ",'[1]Исходные данные'!$F$2:$F$606,"56")</f>
        <v>0</v>
      </c>
      <c r="BQ25" s="11">
        <f>SUMIFS('[1]Исходные данные'!$J$2:$J$606,'[1]Исходные данные'!$D$2:$D$606,"МПГУ",'[1]Исходные данные'!$F$2:$F$606,"56")</f>
        <v>0</v>
      </c>
      <c r="BR25" s="11">
        <f>SUMIFS('[1]Исходные данные'!$I$2:$I$606,'[1]Исходные данные'!$D$2:$D$606,"БПО 2",'[1]Исходные данные'!$F$2:$F$606,"56")</f>
        <v>0</v>
      </c>
      <c r="BS25" s="11">
        <f>SUMIFS('[1]Исходные данные'!$J$2:$J$606,'[1]Исходные данные'!$D$2:$D$606,"БПО 2",'[1]Исходные данные'!$F$2:$F$606,"56")</f>
        <v>0</v>
      </c>
      <c r="BT25" s="11">
        <f>SUMIFS('[1]Исходные данные'!$I$2:$I$606,'[1]Исходные данные'!$D$2:$D$606,"ЛД",'[1]Исходные данные'!$F$2:$F$606,"56")</f>
        <v>0</v>
      </c>
      <c r="BU25" s="11">
        <f>SUMIFS('[1]Исходные данные'!$J$2:$J$606,'[1]Исходные данные'!$D$2:$D$606,"ЛД",'[1]Исходные данные'!$F$2:$F$606,"56")</f>
        <v>0</v>
      </c>
      <c r="BV25" s="11">
        <f>SUMIFS('[1]Исходные данные'!$I$2:$I$606,'[1]Исходные данные'!$D$2:$D$606,"Отделкадр",'[1]Исходные данные'!$F$2:$F$606,"56")</f>
        <v>0</v>
      </c>
      <c r="BW25" s="11">
        <f>SUMIFS('[1]Исходные данные'!$J$2:$J$606,'[1]Исходные данные'!$D$2:$D$606,"Отделкадр",'[1]Исходные данные'!$F$2:$F$606,"56")</f>
        <v>0</v>
      </c>
      <c r="BX25" s="11">
        <f>SUMIFS('[1]Исходные данные'!$I$2:$I$606,'[1]Исходные данные'!$D$2:$D$606,"ЦИТС.",'[1]Исходные данные'!$F$2:$F$606,"56")</f>
        <v>0</v>
      </c>
      <c r="BY25" s="11">
        <f>SUMIFS('[1]Исходные данные'!$J$2:$J$606,'[1]Исходные данные'!$D$2:$D$606,"ЦИТС.",'[1]Исходные данные'!$F$2:$F$606,"56")</f>
        <v>0</v>
      </c>
      <c r="BZ25" s="11">
        <f>SUMIFS('[1]Исходные данные'!$I$2:$I$606,'[1]Исходные данные'!$D$2:$D$606,"ОБО",'[1]Исходные данные'!$F$2:$F$606,"56")</f>
        <v>0</v>
      </c>
      <c r="CA25" s="11">
        <f>SUMIFS('[1]Исходные данные'!$J$2:$J$606,'[1]Исходные данные'!$D$2:$D$606,"ОБО",'[1]Исходные данные'!$F$2:$F$606,"56")</f>
        <v>0</v>
      </c>
      <c r="CB25" s="11">
        <f>SUMIFS('[1]Исходные данные'!$I$2:$I$606,'[1]Исходные данные'!$D$2:$D$606,"УЖЭО",'[1]Исходные данные'!$F$2:$F$606,"56")</f>
        <v>0</v>
      </c>
      <c r="CC25" s="11">
        <f>SUMIFS('[1]Исходные данные'!$J$2:$J$606,'[1]Исходные данные'!$D$2:$D$606,"УЖЭО",'[1]Исходные данные'!$F$2:$F$606,"56")</f>
        <v>0</v>
      </c>
      <c r="CD25" s="11">
        <f>SUMIFS('[1]Исходные данные'!$I$2:$I$606,'[1]Исходные данные'!$D$2:$D$606,"Мухтар/Хамит",'[1]Исходные данные'!$F$2:$F$606,"56")</f>
        <v>0</v>
      </c>
      <c r="CE25" s="11">
        <f>SUMIFS('[1]Исходные данные'!$J$2:$J$606,'[1]Исходные данные'!$D$2:$D$606,"Мухтар/Хамит",'[1]Исходные данные'!$F$2:$F$606,"56")</f>
        <v>0</v>
      </c>
      <c r="CF25" s="11">
        <f>SUMIFS('[1]Исходные данные'!$I$2:$I$606,'[1]Исходные данные'!$D$2:$D$606,"ОБО-    СБ",'[1]Исходные данные'!$F$2:$F$606,"56")</f>
        <v>0</v>
      </c>
      <c r="CG25" s="11">
        <f>SUMIFS('[1]Исходные данные'!$J$2:$J$606,'[1]Исходные данные'!$D$2:$D$606,"ОБО-    СБ",'[1]Исходные данные'!$F$2:$F$606,"56")</f>
        <v>0</v>
      </c>
      <c r="CH25" s="11">
        <f>SUMIFS('[1]Исходные данные'!$I$2:$I$606,'[1]Исходные данные'!$D$2:$D$606,"РМУ 2",'[1]Исходные данные'!$F$2:$F$606,"56")</f>
        <v>0</v>
      </c>
      <c r="CI25" s="11">
        <f>SUMIFS('[1]Исходные данные'!$J$2:$J$606,'[1]Исходные данные'!$D$2:$D$606,"РМУ 2",'[1]Исходные данные'!$F$2:$F$606,"56")</f>
        <v>0</v>
      </c>
      <c r="CJ25" s="11">
        <f>SUMIFS('[1]Исходные данные'!$I$2:$I$606,'[1]Исходные данные'!$D$2:$D$606,"ГАПиИТ",'[1]Исходные данные'!$F$2:$F$606,"56")</f>
        <v>0</v>
      </c>
      <c r="CK25" s="11">
        <f>SUMIFS('[1]Исходные данные'!$J$2:$J$606,'[1]Исходные данные'!$D$2:$D$606,"ГАПиИТ",'[1]Исходные данные'!$F$2:$F$606,"56")</f>
        <v>0</v>
      </c>
      <c r="CL25" s="11">
        <f>SUMIFS('[1]Исходные данные'!$I$2:$I$606,'[1]Исходные данные'!$D$2:$D$606,"ОМ",'[1]Исходные данные'!$F$2:$F$606,"56")</f>
        <v>0</v>
      </c>
      <c r="CM25" s="11">
        <f>SUMIFS('[1]Исходные данные'!$J$2:$J$606,'[1]Исходные данные'!$D$2:$D$606,"ОМ",'[1]Исходные данные'!$F$2:$F$606,"56")</f>
        <v>0</v>
      </c>
      <c r="CN25" s="11">
        <f>SUMIFS('[1]Исходные данные'!$I$2:$I$606,'[1]Исходные данные'!$D$2:$D$606,"оппоIR",'[1]Исходные данные'!$F$2:$F$606,"56")</f>
        <v>0</v>
      </c>
      <c r="CO25" s="11">
        <f>SUMIFS('[1]Исходные данные'!$J$2:$J$606,'[1]Исходные данные'!$D$2:$D$606,"оппоIR",'[1]Исходные данные'!$F$2:$F$606,"56")</f>
        <v>0</v>
      </c>
      <c r="CP25" s="11">
        <f>SUMIFS('[1]Исходные данные'!$I$2:$I$606,'[1]Исходные данные'!$D$2:$D$606,"Маркшейдер",'[1]Исходные данные'!$F$2:$F$606,"56")</f>
        <v>0</v>
      </c>
      <c r="CQ25" s="11">
        <f>SUMIFS('[1]Исходные данные'!$J$2:$J$606,'[1]Исходные данные'!$D$2:$D$606,"Маркшейдер",'[1]Исходные данные'!$F$2:$F$606,"56")</f>
        <v>0</v>
      </c>
      <c r="CR25" s="11">
        <f>SUMIFS('[1]Исходные данные'!$I$2:$I$606,'[1]Исходные данные'!$D$2:$D$606,"ПСО",'[1]Исходные данные'!$F$2:$F$606,"56")</f>
        <v>0</v>
      </c>
      <c r="CS25" s="11">
        <f>SUMIFS('[1]Исходные данные'!$J$2:$J$606,'[1]Исходные данные'!$D$2:$D$606,"ПСО",'[1]Исходные данные'!$F$2:$F$606,"56")</f>
        <v>0</v>
      </c>
    </row>
    <row r="26" spans="1:97" x14ac:dyDescent="0.25">
      <c r="A26" s="13" t="s">
        <v>97</v>
      </c>
      <c r="B26" s="11" t="s">
        <v>98</v>
      </c>
      <c r="C26" s="10">
        <f t="shared" si="0"/>
        <v>4</v>
      </c>
      <c r="D26" s="10">
        <f t="shared" si="1"/>
        <v>3</v>
      </c>
      <c r="E26" s="10">
        <f t="shared" si="1"/>
        <v>1</v>
      </c>
      <c r="F26" s="11">
        <f>SUMIFS('[1]Исходные данные'!$I$2:$I$606,'[1]Исходные данные'!$D$2:$D$606,"ЦДН-1",'[1]Исходные данные'!$F$2:$F$606,"42")</f>
        <v>0</v>
      </c>
      <c r="G26" s="11">
        <f>SUMIFS('[1]Исходные данные'!$J$2:$J$606,'[1]Исходные данные'!$D$2:$D$606,"ЦДН-1",'[1]Исходные данные'!$F$2:$F$606,"42")</f>
        <v>0</v>
      </c>
      <c r="H26" s="11">
        <f>SUMIFS('[1]Исходные данные'!$I$2:$I$606,'[1]Исходные данные'!$D$2:$D$606,"ЦДН-2",'[1]Исходные данные'!$F$2:$F$606,"42")</f>
        <v>0</v>
      </c>
      <c r="I26" s="11">
        <f>SUMIFS('[1]Исходные данные'!$J$2:$J$606,'[1]Исходные данные'!$D$2:$D$606,"ЦДН-2",'[1]Исходные данные'!$F$2:$F$606,"42")</f>
        <v>0</v>
      </c>
      <c r="J26" s="11">
        <f>SUMIFS('[1]Исходные данные'!$I$2:$I$606,'[1]Исходные данные'!$D$2:$D$606,"ЦДН-3",'[1]Исходные данные'!$F$2:$F$606,"42")</f>
        <v>0</v>
      </c>
      <c r="K26" s="11">
        <f>SUMIFS('[1]Исходные данные'!$J$2:$J$606,'[1]Исходные данные'!$D$2:$D$606,"ЦДН-3",'[1]Исходные данные'!$F$2:$F$606,"42")</f>
        <v>0</v>
      </c>
      <c r="L26" s="11">
        <f>SUMIFS('[1]Исходные данные'!$I$2:$I$606,'[1]Исходные данные'!$D$2:$D$606,"ЦППН",'[1]Исходные данные'!$F$2:$F$606,"42")</f>
        <v>0</v>
      </c>
      <c r="M26" s="11">
        <f>SUMIFS('[1]Исходные данные'!$J$2:$J$606,'[1]Исходные данные'!$D$2:$D$606,"ЦППН",'[1]Исходные данные'!$F$2:$F$606,"42")</f>
        <v>0</v>
      </c>
      <c r="N26" s="11">
        <f>SUMIFS('[1]Исходные данные'!$I$2:$I$606,'[1]Исходные данные'!$D$2:$D$606,"ЦППД",'[1]Исходные данные'!$F$2:$F$606,"42")</f>
        <v>0</v>
      </c>
      <c r="O26" s="11">
        <f>SUMIFS('[1]Исходные данные'!$J$2:$J$606,'[1]Исходные данные'!$D$2:$D$606,"ЦППД",'[1]Исходные данные'!$F$2:$F$606,"42")</f>
        <v>0</v>
      </c>
      <c r="P26" s="11">
        <f>SUMIFS('[1]Исходные данные'!$I$2:$I$606,'[1]Исходные данные'!$D$2:$D$606,"ЭЦ",'[1]Исходные данные'!$F$2:$F$606,"42")</f>
        <v>0</v>
      </c>
      <c r="Q26" s="11">
        <f>SUMIFS('[1]Исходные данные'!$J$2:$J$606,'[1]Исходные данные'!$D$2:$D$606,"ЭЦ",'[1]Исходные данные'!$F$2:$F$606,"42")</f>
        <v>0</v>
      </c>
      <c r="R26" s="11">
        <f>SUMIFS('[1]Исходные данные'!$I$2:$I$606,'[1]Исходные данные'!$D$2:$D$606,"ОКС",'[1]Исходные данные'!$F$2:$F$606,"42")</f>
        <v>0</v>
      </c>
      <c r="S26" s="11">
        <f>SUMIFS('[1]Исходные данные'!$J$2:$J$606,'[1]Исходные данные'!$D$2:$D$606,"ОКС",'[1]Исходные данные'!$F$2:$F$606,"42")</f>
        <v>0</v>
      </c>
      <c r="T26" s="11">
        <f>SUMIFS('[1]Исходные данные'!$I$2:$I$606,'[1]Исходные данные'!$D$2:$D$606,"РСЦ",'[1]Исходные данные'!$F$2:$F$606,"42")</f>
        <v>0</v>
      </c>
      <c r="U26" s="11">
        <f>SUMIFS('[1]Исходные данные'!$J$2:$J$606,'[1]Исходные данные'!$D$2:$D$606,"РСЦ",'[1]Исходные данные'!$F$2:$F$606,"42")</f>
        <v>0</v>
      </c>
      <c r="V26" s="11">
        <f>SUMIFS('[1]Исходные данные'!$I$2:$I$606,'[1]Исходные данные'!$D$2:$D$606,"ЦИТС",'[1]Исходные данные'!$F$2:$F$606,"42")</f>
        <v>0</v>
      </c>
      <c r="W26" s="11">
        <f>SUMIFS('[1]Исходные данные'!$J$2:$J$606,'[1]Исходные данные'!$D$2:$D$606,"ЦИТС",'[1]Исходные данные'!$F$2:$F$606,"42")</f>
        <v>0</v>
      </c>
      <c r="X26" s="11">
        <f>SUMIFS('[1]Исходные данные'!$I$2:$I$606,'[1]Исходные данные'!$D$2:$D$606,"ПРЦЭО",'[1]Исходные данные'!$F$2:$F$606,"42")</f>
        <v>0</v>
      </c>
      <c r="Y26" s="11">
        <f>SUMIFS('[1]Исходные данные'!$J$2:$J$606,'[1]Исходные данные'!$D$2:$D$606,"ПРЦЭО",'[1]Исходные данные'!$F$2:$F$606,"42")</f>
        <v>0</v>
      </c>
      <c r="Z26" s="11">
        <f>SUMIFS('[1]Исходные данные'!$I$2:$I$606,'[1]Исходные данные'!$D$2:$D$606,"ГЦ",'[1]Исходные данные'!$F$2:$F$606,"42")</f>
        <v>0</v>
      </c>
      <c r="AA26" s="11">
        <f>SUMIFS('[1]Исходные данные'!$J$2:$J$606,'[1]Исходные данные'!$D$2:$D$606,"ГЦ",'[1]Исходные данные'!$F$2:$F$606,"42")</f>
        <v>0</v>
      </c>
      <c r="AB26" s="11">
        <f>SUMIFS('[1]Исходные данные'!$I$2:$I$606,'[1]Исходные данные'!$D$2:$D$606,"ЦПП",'[1]Исходные данные'!$F$2:$F$606,"42")</f>
        <v>0</v>
      </c>
      <c r="AC26" s="11">
        <f>SUMIFS('[1]Исходные данные'!$J$2:$J$606,'[1]Исходные данные'!$D$2:$D$606,"ЦПП",'[1]Исходные данные'!$F$2:$F$606,"42")</f>
        <v>0</v>
      </c>
      <c r="AD26" s="11">
        <f>SUMIFS('[1]Исходные данные'!$I$2:$I$606,'[1]Исходные данные'!$D$2:$D$606,"БМТС",'[1]Исходные данные'!$F$2:$F$606,"42")</f>
        <v>0</v>
      </c>
      <c r="AE26" s="11">
        <f>SUMIFS('[1]Исходные данные'!$J$2:$J$606,'[1]Исходные данные'!$D$2:$D$606,"БМТС",'[1]Исходные данные'!$F$2:$F$606,"42")</f>
        <v>0</v>
      </c>
      <c r="AF26" s="11">
        <f>SUMIFS('[1]Исходные данные'!$I$2:$I$606,'[1]Исходные данные'!$D$2:$D$606,"УБиПКРС-1",'[1]Исходные данные'!$F$2:$F$606,"42")</f>
        <v>0</v>
      </c>
      <c r="AG26" s="11">
        <f>SUMIFS('[1]Исходные данные'!$J$2:$J$606,'[1]Исходные данные'!$D$2:$D$606,"УБиПКРС-1",'[1]Исходные данные'!$F$2:$F$606,"42")</f>
        <v>0</v>
      </c>
      <c r="AH26" s="11">
        <f>SUMIFS('[1]Исходные данные'!$I$2:$I$606,'[1]Исходные данные'!$D$2:$D$606,"УБиПКРС-2",'[1]Исходные данные'!$F$2:$F$606,"42")</f>
        <v>0</v>
      </c>
      <c r="AI26" s="11">
        <f>SUMIFS('[1]Исходные данные'!$J$2:$J$606,'[1]Исходные данные'!$D$2:$D$606,"УБиПКРС-2",'[1]Исходные данные'!$F$2:$F$606,"42")</f>
        <v>0</v>
      </c>
      <c r="AJ26" s="11">
        <f>SUMIFS('[1]Исходные данные'!$I$2:$I$606,'[1]Исходные данные'!$D$2:$D$606,"ДТТ-1",'[1]Исходные данные'!$F$2:$F$606,"42")</f>
        <v>0</v>
      </c>
      <c r="AK26" s="11">
        <f>SUMIFS('[1]Исходные данные'!$J$2:$J$606,'[1]Исходные данные'!$D$2:$D$606,"ДТТ-1",'[1]Исходные данные'!$F$2:$F$606,"42")</f>
        <v>0</v>
      </c>
      <c r="AL26" s="11">
        <f>SUMIFS('[1]Исходные данные'!$I$2:$I$606,'[1]Исходные данные'!$D$2:$D$606,"ЦНИПР",'[1]Исходные данные'!$F$2:$F$606,"42")</f>
        <v>3</v>
      </c>
      <c r="AM26" s="11">
        <f>SUMIFS('[1]Исходные данные'!$J$2:$J$606,'[1]Исходные данные'!$D$2:$D$606,"ЦНИПР",'[1]Исходные данные'!$F$2:$F$606,"42")</f>
        <v>1</v>
      </c>
      <c r="AN26" s="11">
        <f>SUMIFS('[1]Исходные данные'!$I$2:$I$606,'[1]Исходные данные'!$D$2:$D$606,"ОБиПКРС",'[1]Исходные данные'!$F$2:$F$606,"42")</f>
        <v>0</v>
      </c>
      <c r="AO26" s="11">
        <f>SUMIFS('[1]Исходные данные'!$J$2:$J$606,'[1]Исходные данные'!$D$2:$D$606,"ОБиПКРС",'[1]Исходные данные'!$F$2:$F$606,"42")</f>
        <v>0</v>
      </c>
      <c r="AP26" s="11">
        <f>SUMIFS('[1]Исходные данные'!$I$2:$I$606,'[1]Исходные данные'!$D$2:$D$606,"ЦАП",'[1]Исходные данные'!$F$2:$F$606,"42")</f>
        <v>0</v>
      </c>
      <c r="AQ26" s="11">
        <f>SUMIFS('[1]Исходные данные'!$J$2:$J$606,'[1]Исходные данные'!$D$2:$D$606,"ЦАП",'[1]Исходные данные'!$F$2:$F$606,"42")</f>
        <v>0</v>
      </c>
      <c r="AR26" s="11">
        <f>SUMIFS('[1]Исходные данные'!$I$2:$I$606,'[1]Исходные данные'!$D$2:$D$606,"ГООС",'[1]Исходные данные'!$F$2:$F$606,"42")</f>
        <v>0</v>
      </c>
      <c r="AS26" s="11">
        <f>SUMIFS('[1]Исходные данные'!$J$2:$J$606,'[1]Исходные данные'!$D$2:$D$606,"ГООС",'[1]Исходные данные'!$F$2:$F$606,"42")</f>
        <v>0</v>
      </c>
      <c r="AT26" s="11">
        <f>SUMIFS('[1]Исходные данные'!$I$2:$I$606,'[1]Исходные данные'!$D$2:$D$606,"Ақкетік",'[1]Исходные данные'!$F$2:$F$606,"42")</f>
        <v>0</v>
      </c>
      <c r="AU26" s="11">
        <f>SUMIFS('[1]Исходные данные'!$J$2:$J$606,'[1]Исходные данные'!$D$2:$D$606,"Ақкетік",'[1]Исходные данные'!$F$2:$F$606,"42")</f>
        <v>0</v>
      </c>
      <c r="AV26" s="11">
        <f>SUMIFS('[1]Исходные данные'!$I$2:$I$606,'[1]Исходные данные'!$D$2:$D$606,"Нейрон",'[1]Исходные данные'!$F$2:$F$606,"42")</f>
        <v>0</v>
      </c>
      <c r="AW26" s="11">
        <f>SUMIFS('[1]Исходные данные'!$J$2:$J$606,'[1]Исходные данные'!$D$2:$D$606,"Нейрон",'[1]Исходные данные'!$F$2:$F$606,"42")</f>
        <v>0</v>
      </c>
      <c r="AX26" s="11">
        <f>SUMIFS('[1]Исходные данные'!$I$2:$I$606,'[1]Исходные данные'!$D$2:$D$606,"Бурение",'[1]Исходные данные'!$F$2:$F$606,"42")</f>
        <v>0</v>
      </c>
      <c r="AY26" s="11">
        <f>SUMIFS('[1]Исходные данные'!$J$2:$J$606,'[1]Исходные данные'!$D$2:$D$606,"Бурение",'[1]Исходные данные'!$F$2:$F$606,"42")</f>
        <v>0</v>
      </c>
      <c r="AZ26" s="11">
        <f>SUMIFS('[1]Исходные данные'!$I$2:$I$606,'[1]Исходные данные'!$D$2:$D$606,"ЦТВС",'[1]Исходные данные'!$F$2:$F$606,"42")</f>
        <v>0</v>
      </c>
      <c r="BA26" s="11">
        <f>SUMIFS('[1]Исходные данные'!$J$2:$J$606,'[1]Исходные данные'!$D$2:$D$606,"ЦТВС",'[1]Исходные данные'!$F$2:$F$606,"42")</f>
        <v>0</v>
      </c>
      <c r="BB26" s="11">
        <f>SUMIFS('[1]Исходные данные'!$I$2:$I$606,'[1]Исходные данные'!$D$2:$D$606,"ТБ",'[1]Исходные данные'!$F$2:$F$606,"42")</f>
        <v>0</v>
      </c>
      <c r="BC26" s="11">
        <f>SUMIFS('[1]Исходные данные'!$J$2:$J$606,'[1]Исходные данные'!$D$2:$D$606,"ТБ",'[1]Исходные данные'!$F$2:$F$606,"42")</f>
        <v>0</v>
      </c>
      <c r="BD26" s="11">
        <f>SUMIFS('[1]Исходные данные'!$I$2:$I$606,'[1]Исходные данные'!$D$2:$D$606,"ОТДН",'[1]Исходные данные'!$F$2:$F$606,"42")</f>
        <v>0</v>
      </c>
      <c r="BE26" s="11">
        <f>SUMIFS('[1]Исходные данные'!$J$2:$J$606,'[1]Исходные данные'!$D$2:$D$606,"ОТДН",'[1]Исходные данные'!$F$2:$F$606,"42")</f>
        <v>0</v>
      </c>
      <c r="BF26" s="11">
        <f>SUMIFS('[1]Исходные данные'!$I$2:$I$606,'[1]Исходные данные'!$D$2:$D$606,"ПЧ-Семсер",'[1]Исходные данные'!$F$2:$F$606,"42")</f>
        <v>0</v>
      </c>
      <c r="BG26" s="11">
        <f>SUMIFS('[1]Исходные данные'!$J$2:$J$606,'[1]Исходные данные'!$D$2:$D$606,"ПЧ-Семсер",'[1]Исходные данные'!$F$2:$F$606,"42")</f>
        <v>0</v>
      </c>
      <c r="BH26" s="11">
        <f>SUMIFS('[1]Исходные данные'!$I$2:$I$606,'[1]Исходные данные'!$D$2:$D$606,"ПРЦЭО(2)",'[1]Исходные данные'!$F$2:$F$606,"42")</f>
        <v>0</v>
      </c>
      <c r="BI26" s="11">
        <f>SUMIFS('[1]Исходные данные'!$J$2:$J$606,'[1]Исходные данные'!$D$2:$D$606,"ПРЦЭО(2)",'[1]Исходные данные'!$F$2:$F$606,"42")</f>
        <v>0</v>
      </c>
      <c r="BJ26" s="11">
        <f>SUMIFS('[1]Исходные данные'!$I$2:$I$606,'[1]Исходные данные'!$D$2:$D$606,"БД",'[1]Исходные данные'!$F$2:$F$606,"42")</f>
        <v>0</v>
      </c>
      <c r="BK26" s="11">
        <f>SUMIFS('[1]Исходные данные'!$J$2:$J$606,'[1]Исходные данные'!$D$2:$D$606,"БД",'[1]Исходные данные'!$F$2:$F$606,"42")</f>
        <v>0</v>
      </c>
      <c r="BL26" s="11">
        <f>SUMIFS('[1]Исходные данные'!$I$2:$I$606,'[1]Исходные данные'!$D$2:$D$606,"ОГиР",'[1]Исходные данные'!$F$2:$F$606,"42")</f>
        <v>0</v>
      </c>
      <c r="BM26" s="11">
        <f>SUMIFS('[1]Исходные данные'!$J$2:$J$606,'[1]Исходные данные'!$D$2:$D$606,"ОГиР",'[1]Исходные данные'!$F$2:$F$606,"42")</f>
        <v>0</v>
      </c>
      <c r="BN26" s="11">
        <f>SUMIFS('[1]Исходные данные'!$I$2:$I$606,'[1]Исходные данные'!$D$2:$D$606,"ГСРиВК",'[1]Исходные данные'!$F$2:$F$606,"42")</f>
        <v>0</v>
      </c>
      <c r="BO26" s="11">
        <f>SUMIFS('[1]Исходные данные'!$J$2:$J$606,'[1]Исходные данные'!$D$2:$D$606,"ГСРиВК",'[1]Исходные данные'!$F$2:$F$606,"42")</f>
        <v>0</v>
      </c>
      <c r="BP26" s="11">
        <f>SUMIFS('[1]Исходные данные'!$I$2:$I$606,'[1]Исходные данные'!$D$2:$D$606,"МПГУ",'[1]Исходные данные'!$F$2:$F$606,"42")</f>
        <v>0</v>
      </c>
      <c r="BQ26" s="11">
        <f>SUMIFS('[1]Исходные данные'!$J$2:$J$606,'[1]Исходные данные'!$D$2:$D$606,"МПГУ",'[1]Исходные данные'!$F$2:$F$606,"42")</f>
        <v>0</v>
      </c>
      <c r="BR26" s="11">
        <f>SUMIFS('[1]Исходные данные'!$I$2:$I$606,'[1]Исходные данные'!$D$2:$D$606,"БПО 2",'[1]Исходные данные'!$F$2:$F$606,"42")</f>
        <v>0</v>
      </c>
      <c r="BS26" s="11">
        <f>SUMIFS('[1]Исходные данные'!$J$2:$J$606,'[1]Исходные данные'!$D$2:$D$606,"БПО 2",'[1]Исходные данные'!$F$2:$F$606,"42")</f>
        <v>0</v>
      </c>
      <c r="BT26" s="11">
        <f>SUMIFS('[1]Исходные данные'!$I$2:$I$606,'[1]Исходные данные'!$D$2:$D$606,"ЛД",'[1]Исходные данные'!$F$2:$F$606,"42")</f>
        <v>0</v>
      </c>
      <c r="BU26" s="11">
        <f>SUMIFS('[1]Исходные данные'!$J$2:$J$606,'[1]Исходные данные'!$D$2:$D$606,"ЛД",'[1]Исходные данные'!$F$2:$F$606,"42")</f>
        <v>0</v>
      </c>
      <c r="BV26" s="11">
        <f>SUMIFS('[1]Исходные данные'!$I$2:$I$606,'[1]Исходные данные'!$D$2:$D$606,"Отделкадр",'[1]Исходные данные'!$F$2:$F$606,"42")</f>
        <v>0</v>
      </c>
      <c r="BW26" s="11">
        <f>SUMIFS('[1]Исходные данные'!$J$2:$J$606,'[1]Исходные данные'!$D$2:$D$606,"Отделкадр",'[1]Исходные данные'!$F$2:$F$606,"42")</f>
        <v>0</v>
      </c>
      <c r="BX26" s="11">
        <f>SUMIFS('[1]Исходные данные'!$I$2:$I$606,'[1]Исходные данные'!$D$2:$D$606,"ЦИТС.",'[1]Исходные данные'!$F$2:$F$606,"42")</f>
        <v>0</v>
      </c>
      <c r="BY26" s="11">
        <f>SUMIFS('[1]Исходные данные'!$J$2:$J$606,'[1]Исходные данные'!$D$2:$D$606,"ЦИТС.",'[1]Исходные данные'!$F$2:$F$606,"42")</f>
        <v>0</v>
      </c>
      <c r="BZ26" s="11">
        <f>SUMIFS('[1]Исходные данные'!$I$2:$I$606,'[1]Исходные данные'!$D$2:$D$606,"ОБО",'[1]Исходные данные'!$F$2:$F$606,"42")</f>
        <v>0</v>
      </c>
      <c r="CA26" s="11">
        <f>SUMIFS('[1]Исходные данные'!$J$2:$J$606,'[1]Исходные данные'!$D$2:$D$606,"ОБО",'[1]Исходные данные'!$F$2:$F$606,"42")</f>
        <v>0</v>
      </c>
      <c r="CB26" s="11">
        <f>SUMIFS('[1]Исходные данные'!$I$2:$I$606,'[1]Исходные данные'!$D$2:$D$606,"УЖЭО",'[1]Исходные данные'!$F$2:$F$606,"42")</f>
        <v>0</v>
      </c>
      <c r="CC26" s="11">
        <f>SUMIFS('[1]Исходные данные'!$J$2:$J$606,'[1]Исходные данные'!$D$2:$D$606,"УЖЭО",'[1]Исходные данные'!$F$2:$F$606,"42")</f>
        <v>0</v>
      </c>
      <c r="CD26" s="11">
        <f>SUMIFS('[1]Исходные данные'!$I$2:$I$606,'[1]Исходные данные'!$D$2:$D$606,"Мухтар/Хамит",'[1]Исходные данные'!$F$2:$F$606,"42")</f>
        <v>0</v>
      </c>
      <c r="CE26" s="11">
        <f>SUMIFS('[1]Исходные данные'!$J$2:$J$606,'[1]Исходные данные'!$D$2:$D$606,"Мухтар/Хамит",'[1]Исходные данные'!$F$2:$F$606,"42")</f>
        <v>0</v>
      </c>
      <c r="CF26" s="11">
        <f>SUMIFS('[1]Исходные данные'!$I$2:$I$606,'[1]Исходные данные'!$D$2:$D$606,"ОБО-    СБ",'[1]Исходные данные'!$F$2:$F$606,"42")</f>
        <v>0</v>
      </c>
      <c r="CG26" s="11">
        <f>SUMIFS('[1]Исходные данные'!$J$2:$J$606,'[1]Исходные данные'!$D$2:$D$606,"ОБО-    СБ",'[1]Исходные данные'!$F$2:$F$606,"42")</f>
        <v>0</v>
      </c>
      <c r="CH26" s="11">
        <f>SUMIFS('[1]Исходные данные'!$I$2:$I$606,'[1]Исходные данные'!$D$2:$D$606,"РМУ 2",'[1]Исходные данные'!$F$2:$F$606,"42")</f>
        <v>0</v>
      </c>
      <c r="CI26" s="11">
        <f>SUMIFS('[1]Исходные данные'!$J$2:$J$606,'[1]Исходные данные'!$D$2:$D$606,"РМУ 2",'[1]Исходные данные'!$F$2:$F$606,"42")</f>
        <v>0</v>
      </c>
      <c r="CJ26" s="11">
        <f>SUMIFS('[1]Исходные данные'!$I$2:$I$606,'[1]Исходные данные'!$D$2:$D$606,"ГАПиИТ",'[1]Исходные данные'!$F$2:$F$606,"42")</f>
        <v>0</v>
      </c>
      <c r="CK26" s="11">
        <f>SUMIFS('[1]Исходные данные'!$J$2:$J$606,'[1]Исходные данные'!$D$2:$D$606,"ГАПиИТ",'[1]Исходные данные'!$F$2:$F$606,"42")</f>
        <v>0</v>
      </c>
      <c r="CL26" s="11">
        <f>SUMIFS('[1]Исходные данные'!$I$2:$I$606,'[1]Исходные данные'!$D$2:$D$606,"ОМ",'[1]Исходные данные'!$F$2:$F$606,"42")</f>
        <v>0</v>
      </c>
      <c r="CM26" s="11">
        <f>SUMIFS('[1]Исходные данные'!$J$2:$J$606,'[1]Исходные данные'!$D$2:$D$606,"ОМ",'[1]Исходные данные'!$F$2:$F$606,"42")</f>
        <v>0</v>
      </c>
      <c r="CN26" s="11">
        <f>SUMIFS('[1]Исходные данные'!$I$2:$I$606,'[1]Исходные данные'!$D$2:$D$606,"оппоIR",'[1]Исходные данные'!$F$2:$F$606,"42")</f>
        <v>0</v>
      </c>
      <c r="CO26" s="11">
        <f>SUMIFS('[1]Исходные данные'!$J$2:$J$606,'[1]Исходные данные'!$D$2:$D$606,"оппоIR",'[1]Исходные данные'!$F$2:$F$606,"42")</f>
        <v>0</v>
      </c>
      <c r="CP26" s="11">
        <f>SUMIFS('[1]Исходные данные'!$I$2:$I$606,'[1]Исходные данные'!$D$2:$D$606,"Маркшейдер",'[1]Исходные данные'!$F$2:$F$606,"42")</f>
        <v>0</v>
      </c>
      <c r="CQ26" s="11">
        <f>SUMIFS('[1]Исходные данные'!$J$2:$J$606,'[1]Исходные данные'!$D$2:$D$606,"Маркшейдер",'[1]Исходные данные'!$F$2:$F$606,"42")</f>
        <v>0</v>
      </c>
      <c r="CR26" s="11">
        <f>SUMIFS('[1]Исходные данные'!$I$2:$I$606,'[1]Исходные данные'!$D$2:$D$606,"ПСО",'[1]Исходные данные'!$F$2:$F$606,"42")</f>
        <v>0</v>
      </c>
      <c r="CS26" s="11">
        <f>SUMIFS('[1]Исходные данные'!$J$2:$J$606,'[1]Исходные данные'!$D$2:$D$606,"ПСО",'[1]Исходные данные'!$F$2:$F$606,"42")</f>
        <v>0</v>
      </c>
    </row>
    <row r="27" spans="1:97" x14ac:dyDescent="0.25">
      <c r="A27" s="13" t="s">
        <v>99</v>
      </c>
      <c r="B27" s="11" t="s">
        <v>100</v>
      </c>
      <c r="C27" s="10">
        <f t="shared" si="0"/>
        <v>4</v>
      </c>
      <c r="D27" s="10">
        <f t="shared" si="1"/>
        <v>2</v>
      </c>
      <c r="E27" s="10">
        <f t="shared" si="1"/>
        <v>2</v>
      </c>
      <c r="F27" s="11">
        <f>SUMIFS('[1]Исходные данные'!$I$2:$I$606,'[1]Исходные данные'!$D$2:$D$606,"ЦДН-1",'[1]Исходные данные'!$F$2:$F$606,"24")</f>
        <v>0</v>
      </c>
      <c r="G27" s="11">
        <f>SUMIFS('[1]Исходные данные'!$J$2:$J$606,'[1]Исходные данные'!$D$2:$D$606,"ЦДН-1",'[1]Исходные данные'!$F$2:$F$606,"24")</f>
        <v>0</v>
      </c>
      <c r="H27" s="11">
        <f>SUMIFS('[1]Исходные данные'!$I$2:$I$606,'[1]Исходные данные'!$D$2:$D$606,"ЦДН-2",'[1]Исходные данные'!$F$2:$F$606,"24")</f>
        <v>0</v>
      </c>
      <c r="I27" s="11">
        <f>SUMIFS('[1]Исходные данные'!$J$2:$J$606,'[1]Исходные данные'!$D$2:$D$606,"ЦДН-2",'[1]Исходные данные'!$F$2:$F$606,"24")</f>
        <v>0</v>
      </c>
      <c r="J27" s="11">
        <f>SUMIFS('[1]Исходные данные'!$I$2:$I$606,'[1]Исходные данные'!$D$2:$D$606,"ЦДН-3",'[1]Исходные данные'!$F$2:$F$606,"24")</f>
        <v>0</v>
      </c>
      <c r="K27" s="11">
        <f>SUMIFS('[1]Исходные данные'!$J$2:$J$606,'[1]Исходные данные'!$D$2:$D$606,"ЦДН-3",'[1]Исходные данные'!$F$2:$F$606,"24")</f>
        <v>0</v>
      </c>
      <c r="L27" s="11">
        <f>SUMIFS('[1]Исходные данные'!$I$2:$I$606,'[1]Исходные данные'!$D$2:$D$606,"ЦППН",'[1]Исходные данные'!$F$2:$F$606,"24")</f>
        <v>0</v>
      </c>
      <c r="M27" s="11">
        <f>SUMIFS('[1]Исходные данные'!$J$2:$J$606,'[1]Исходные данные'!$D$2:$D$606,"ЦППН",'[1]Исходные данные'!$F$2:$F$606,"24")</f>
        <v>0</v>
      </c>
      <c r="N27" s="11">
        <f>SUMIFS('[1]Исходные данные'!$I$2:$I$606,'[1]Исходные данные'!$D$2:$D$606,"ЦППД",'[1]Исходные данные'!$F$2:$F$606,"24")</f>
        <v>0</v>
      </c>
      <c r="O27" s="11">
        <f>SUMIFS('[1]Исходные данные'!$J$2:$J$606,'[1]Исходные данные'!$D$2:$D$606,"ЦППД",'[1]Исходные данные'!$F$2:$F$606,"24")</f>
        <v>0</v>
      </c>
      <c r="P27" s="11">
        <f>SUMIFS('[1]Исходные данные'!$I$2:$I$606,'[1]Исходные данные'!$D$2:$D$606,"ЭЦ",'[1]Исходные данные'!$F$2:$F$606,"24")</f>
        <v>0</v>
      </c>
      <c r="Q27" s="11">
        <f>SUMIFS('[1]Исходные данные'!$J$2:$J$606,'[1]Исходные данные'!$D$2:$D$606,"ЭЦ",'[1]Исходные данные'!$F$2:$F$606,"24")</f>
        <v>0</v>
      </c>
      <c r="R27" s="11">
        <f>SUMIFS('[1]Исходные данные'!$I$2:$I$606,'[1]Исходные данные'!$D$2:$D$606,"ОКС",'[1]Исходные данные'!$F$2:$F$606,"24")</f>
        <v>0</v>
      </c>
      <c r="S27" s="11">
        <f>SUMIFS('[1]Исходные данные'!$J$2:$J$606,'[1]Исходные данные'!$D$2:$D$606,"ОКС",'[1]Исходные данные'!$F$2:$F$606,"24")</f>
        <v>0</v>
      </c>
      <c r="T27" s="11">
        <f>SUMIFS('[1]Исходные данные'!$I$2:$I$606,'[1]Исходные данные'!$D$2:$D$606,"РСЦ",'[1]Исходные данные'!$F$2:$F$606,"24")</f>
        <v>0</v>
      </c>
      <c r="U27" s="11">
        <f>SUMIFS('[1]Исходные данные'!$J$2:$J$606,'[1]Исходные данные'!$D$2:$D$606,"РСЦ",'[1]Исходные данные'!$F$2:$F$606,"24")</f>
        <v>0</v>
      </c>
      <c r="V27" s="11">
        <f>SUMIFS('[1]Исходные данные'!$I$2:$I$606,'[1]Исходные данные'!$D$2:$D$606,"ЦИТС",'[1]Исходные данные'!$F$2:$F$606,"24")</f>
        <v>0</v>
      </c>
      <c r="W27" s="11">
        <f>SUMIFS('[1]Исходные данные'!$J$2:$J$606,'[1]Исходные данные'!$D$2:$D$606,"ЦИТС",'[1]Исходные данные'!$F$2:$F$606,"24")</f>
        <v>0</v>
      </c>
      <c r="X27" s="11">
        <f>SUMIFS('[1]Исходные данные'!$I$2:$I$606,'[1]Исходные данные'!$D$2:$D$606,"ПРЦЭО",'[1]Исходные данные'!$F$2:$F$606,"24")</f>
        <v>0</v>
      </c>
      <c r="Y27" s="11">
        <f>SUMIFS('[1]Исходные данные'!$J$2:$J$606,'[1]Исходные данные'!$D$2:$D$606,"ПРЦЭО",'[1]Исходные данные'!$F$2:$F$606,"24")</f>
        <v>0</v>
      </c>
      <c r="Z27" s="11">
        <f>SUMIFS('[1]Исходные данные'!$I$2:$I$606,'[1]Исходные данные'!$D$2:$D$606,"ГЦ",'[1]Исходные данные'!$F$2:$F$606,"24")</f>
        <v>0</v>
      </c>
      <c r="AA27" s="11">
        <f>SUMIFS('[1]Исходные данные'!$J$2:$J$606,'[1]Исходные данные'!$D$2:$D$606,"ГЦ",'[1]Исходные данные'!$F$2:$F$606,"24")</f>
        <v>0</v>
      </c>
      <c r="AB27" s="11">
        <f>SUMIFS('[1]Исходные данные'!$I$2:$I$606,'[1]Исходные данные'!$D$2:$D$606,"ЦПП",'[1]Исходные данные'!$F$2:$F$606,"24")</f>
        <v>0</v>
      </c>
      <c r="AC27" s="11">
        <f>SUMIFS('[1]Исходные данные'!$J$2:$J$606,'[1]Исходные данные'!$D$2:$D$606,"ЦПП",'[1]Исходные данные'!$F$2:$F$606,"24")</f>
        <v>0</v>
      </c>
      <c r="AD27" s="11">
        <f>SUMIFS('[1]Исходные данные'!$I$2:$I$606,'[1]Исходные данные'!$D$2:$D$606,"БМТС",'[1]Исходные данные'!$F$2:$F$606,"24")</f>
        <v>0</v>
      </c>
      <c r="AE27" s="11">
        <f>SUMIFS('[1]Исходные данные'!$J$2:$J$606,'[1]Исходные данные'!$D$2:$D$606,"БМТС",'[1]Исходные данные'!$F$2:$F$606,"24")</f>
        <v>0</v>
      </c>
      <c r="AF27" s="11">
        <f>SUMIFS('[1]Исходные данные'!$I$2:$I$606,'[1]Исходные данные'!$D$2:$D$606,"УБиПКРС-1",'[1]Исходные данные'!$F$2:$F$606,"24")</f>
        <v>2</v>
      </c>
      <c r="AG27" s="11">
        <f>SUMIFS('[1]Исходные данные'!$J$2:$J$606,'[1]Исходные данные'!$D$2:$D$606,"УБиПКРС-1",'[1]Исходные данные'!$F$2:$F$606,"24")</f>
        <v>2</v>
      </c>
      <c r="AH27" s="11">
        <f>SUMIFS('[1]Исходные данные'!$I$2:$I$606,'[1]Исходные данные'!$D$2:$D$606,"УБиПКРС-2",'[1]Исходные данные'!$F$2:$F$606,"24")</f>
        <v>0</v>
      </c>
      <c r="AI27" s="11">
        <f>SUMIFS('[1]Исходные данные'!$J$2:$J$606,'[1]Исходные данные'!$D$2:$D$606,"УБиПКРС-2",'[1]Исходные данные'!$F$2:$F$606,"24")</f>
        <v>0</v>
      </c>
      <c r="AJ27" s="11">
        <f>SUMIFS('[1]Исходные данные'!$I$2:$I$606,'[1]Исходные данные'!$D$2:$D$606,"ДТТ-1",'[1]Исходные данные'!$F$2:$F$606,"24")</f>
        <v>0</v>
      </c>
      <c r="AK27" s="11">
        <f>SUMIFS('[1]Исходные данные'!$J$2:$J$606,'[1]Исходные данные'!$D$2:$D$606,"ДТТ-1",'[1]Исходные данные'!$F$2:$F$606,"24")</f>
        <v>0</v>
      </c>
      <c r="AL27" s="11">
        <f>SUMIFS('[1]Исходные данные'!$I$2:$I$606,'[1]Исходные данные'!$D$2:$D$606,"ЦНИПР",'[1]Исходные данные'!$F$2:$F$606,"24")</f>
        <v>0</v>
      </c>
      <c r="AM27" s="11">
        <f>SUMIFS('[1]Исходные данные'!$J$2:$J$606,'[1]Исходные данные'!$D$2:$D$606,"ЦНИПР",'[1]Исходные данные'!$F$2:$F$606,"24")</f>
        <v>0</v>
      </c>
      <c r="AN27" s="11">
        <f>SUMIFS('[1]Исходные данные'!$I$2:$I$606,'[1]Исходные данные'!$D$2:$D$606,"ОБиПКРС",'[1]Исходные данные'!$F$2:$F$606,"24")</f>
        <v>0</v>
      </c>
      <c r="AO27" s="11">
        <f>SUMIFS('[1]Исходные данные'!$J$2:$J$606,'[1]Исходные данные'!$D$2:$D$606,"ОБиПКРС",'[1]Исходные данные'!$F$2:$F$606,"24")</f>
        <v>0</v>
      </c>
      <c r="AP27" s="11">
        <f>SUMIFS('[1]Исходные данные'!$I$2:$I$606,'[1]Исходные данные'!$D$2:$D$606,"ЦАП",'[1]Исходные данные'!$F$2:$F$606,"24")</f>
        <v>0</v>
      </c>
      <c r="AQ27" s="11">
        <f>SUMIFS('[1]Исходные данные'!$J$2:$J$606,'[1]Исходные данные'!$D$2:$D$606,"ЦАП",'[1]Исходные данные'!$F$2:$F$606,"24")</f>
        <v>0</v>
      </c>
      <c r="AR27" s="11">
        <f>SUMIFS('[1]Исходные данные'!$I$2:$I$606,'[1]Исходные данные'!$D$2:$D$606,"ГООС",'[1]Исходные данные'!$F$2:$F$606,"24")</f>
        <v>0</v>
      </c>
      <c r="AS27" s="11">
        <f>SUMIFS('[1]Исходные данные'!$J$2:$J$606,'[1]Исходные данные'!$D$2:$D$606,"ГООС",'[1]Исходные данные'!$F$2:$F$606,"24")</f>
        <v>0</v>
      </c>
      <c r="AT27" s="11">
        <f>SUMIFS('[1]Исходные данные'!$I$2:$I$606,'[1]Исходные данные'!$D$2:$D$606,"Ақкетік",'[1]Исходные данные'!$F$2:$F$606,"24")</f>
        <v>0</v>
      </c>
      <c r="AU27" s="11">
        <f>SUMIFS('[1]Исходные данные'!$J$2:$J$606,'[1]Исходные данные'!$D$2:$D$606,"Ақкетік",'[1]Исходные данные'!$F$2:$F$606,"24")</f>
        <v>0</v>
      </c>
      <c r="AV27" s="11">
        <f>SUMIFS('[1]Исходные данные'!$I$2:$I$606,'[1]Исходные данные'!$D$2:$D$606,"Нейрон",'[1]Исходные данные'!$F$2:$F$606,"24")</f>
        <v>0</v>
      </c>
      <c r="AW27" s="11">
        <f>SUMIFS('[1]Исходные данные'!$J$2:$J$606,'[1]Исходные данные'!$D$2:$D$606,"Нейрон",'[1]Исходные данные'!$F$2:$F$606,"24")</f>
        <v>0</v>
      </c>
      <c r="AX27" s="11">
        <f>SUMIFS('[1]Исходные данные'!$I$2:$I$606,'[1]Исходные данные'!$D$2:$D$606,"Бурение",'[1]Исходные данные'!$F$2:$F$606,"24")</f>
        <v>0</v>
      </c>
      <c r="AY27" s="11">
        <f>SUMIFS('[1]Исходные данные'!$J$2:$J$606,'[1]Исходные данные'!$D$2:$D$606,"Бурение",'[1]Исходные данные'!$F$2:$F$606,"24")</f>
        <v>0</v>
      </c>
      <c r="AZ27" s="11">
        <f>SUMIFS('[1]Исходные данные'!$I$2:$I$606,'[1]Исходные данные'!$D$2:$D$606,"ЦТВС",'[1]Исходные данные'!$F$2:$F$606,"24")</f>
        <v>0</v>
      </c>
      <c r="BA27" s="11">
        <f>SUMIFS('[1]Исходные данные'!$J$2:$J$606,'[1]Исходные данные'!$D$2:$D$606,"ЦТВС",'[1]Исходные данные'!$F$2:$F$606,"24")</f>
        <v>0</v>
      </c>
      <c r="BB27" s="11">
        <f>SUMIFS('[1]Исходные данные'!$I$2:$I$606,'[1]Исходные данные'!$D$2:$D$606,"ТБ",'[1]Исходные данные'!$F$2:$F$606,"24")</f>
        <v>0</v>
      </c>
      <c r="BC27" s="11">
        <f>SUMIFS('[1]Исходные данные'!$J$2:$J$606,'[1]Исходные данные'!$D$2:$D$606,"ТБ",'[1]Исходные данные'!$F$2:$F$606,"24")</f>
        <v>0</v>
      </c>
      <c r="BD27" s="11">
        <f>SUMIFS('[1]Исходные данные'!$I$2:$I$606,'[1]Исходные данные'!$D$2:$D$606,"ОТДН",'[1]Исходные данные'!$F$2:$F$606,"24")</f>
        <v>0</v>
      </c>
      <c r="BE27" s="11">
        <f>SUMIFS('[1]Исходные данные'!$J$2:$J$606,'[1]Исходные данные'!$D$2:$D$606,"ОТДН",'[1]Исходные данные'!$F$2:$F$606,"24")</f>
        <v>0</v>
      </c>
      <c r="BF27" s="11">
        <f>SUMIFS('[1]Исходные данные'!$I$2:$I$606,'[1]Исходные данные'!$D$2:$D$606,"ПЧ-Семсер",'[1]Исходные данные'!$F$2:$F$606,"24")</f>
        <v>0</v>
      </c>
      <c r="BG27" s="11">
        <f>SUMIFS('[1]Исходные данные'!$J$2:$J$606,'[1]Исходные данные'!$D$2:$D$606,"ПЧ-Семсер",'[1]Исходные данные'!$F$2:$F$606,"24")</f>
        <v>0</v>
      </c>
      <c r="BH27" s="11">
        <f>SUMIFS('[1]Исходные данные'!$I$2:$I$606,'[1]Исходные данные'!$D$2:$D$606,"ПРЦЭО(2)",'[1]Исходные данные'!$F$2:$F$606,"24")</f>
        <v>0</v>
      </c>
      <c r="BI27" s="11">
        <f>SUMIFS('[1]Исходные данные'!$J$2:$J$606,'[1]Исходные данные'!$D$2:$D$606,"ПРЦЭО(2)",'[1]Исходные данные'!$F$2:$F$606,"24")</f>
        <v>0</v>
      </c>
      <c r="BJ27" s="11">
        <f>SUMIFS('[1]Исходные данные'!$I$2:$I$606,'[1]Исходные данные'!$D$2:$D$606,"БД",'[1]Исходные данные'!$F$2:$F$606,"24")</f>
        <v>0</v>
      </c>
      <c r="BK27" s="11">
        <f>SUMIFS('[1]Исходные данные'!$J$2:$J$606,'[1]Исходные данные'!$D$2:$D$606,"БД",'[1]Исходные данные'!$F$2:$F$606,"24")</f>
        <v>0</v>
      </c>
      <c r="BL27" s="11">
        <f>SUMIFS('[1]Исходные данные'!$I$2:$I$606,'[1]Исходные данные'!$D$2:$D$606,"ОГиР",'[1]Исходные данные'!$F$2:$F$606,"24")</f>
        <v>0</v>
      </c>
      <c r="BM27" s="11">
        <f>SUMIFS('[1]Исходные данные'!$J$2:$J$606,'[1]Исходные данные'!$D$2:$D$606,"ОГиР",'[1]Исходные данные'!$F$2:$F$606,"24")</f>
        <v>0</v>
      </c>
      <c r="BN27" s="11">
        <f>SUMIFS('[1]Исходные данные'!$I$2:$I$606,'[1]Исходные данные'!$D$2:$D$606,"ГСРиВК",'[1]Исходные данные'!$F$2:$F$606,"24")</f>
        <v>0</v>
      </c>
      <c r="BO27" s="11">
        <f>SUMIFS('[1]Исходные данные'!$J$2:$J$606,'[1]Исходные данные'!$D$2:$D$606,"ГСРиВК",'[1]Исходные данные'!$F$2:$F$606,"24")</f>
        <v>0</v>
      </c>
      <c r="BP27" s="11">
        <f>SUMIFS('[1]Исходные данные'!$I$2:$I$606,'[1]Исходные данные'!$D$2:$D$606,"МПГУ",'[1]Исходные данные'!$F$2:$F$606,"24")</f>
        <v>0</v>
      </c>
      <c r="BQ27" s="11">
        <f>SUMIFS('[1]Исходные данные'!$J$2:$J$606,'[1]Исходные данные'!$D$2:$D$606,"МПГУ",'[1]Исходные данные'!$F$2:$F$606,"24")</f>
        <v>0</v>
      </c>
      <c r="BR27" s="11">
        <f>SUMIFS('[1]Исходные данные'!$I$2:$I$606,'[1]Исходные данные'!$D$2:$D$606,"БПО 2",'[1]Исходные данные'!$F$2:$F$606,"24")</f>
        <v>0</v>
      </c>
      <c r="BS27" s="11">
        <f>SUMIFS('[1]Исходные данные'!$J$2:$J$606,'[1]Исходные данные'!$D$2:$D$606,"БПО 2",'[1]Исходные данные'!$F$2:$F$606,"24")</f>
        <v>0</v>
      </c>
      <c r="BT27" s="11">
        <f>SUMIFS('[1]Исходные данные'!$I$2:$I$606,'[1]Исходные данные'!$D$2:$D$606,"ЛД",'[1]Исходные данные'!$F$2:$F$606,"24")</f>
        <v>0</v>
      </c>
      <c r="BU27" s="11">
        <f>SUMIFS('[1]Исходные данные'!$J$2:$J$606,'[1]Исходные данные'!$D$2:$D$606,"ЛД",'[1]Исходные данные'!$F$2:$F$606,"24")</f>
        <v>0</v>
      </c>
      <c r="BV27" s="11">
        <f>SUMIFS('[1]Исходные данные'!$I$2:$I$606,'[1]Исходные данные'!$D$2:$D$606,"Отделкадр",'[1]Исходные данные'!$F$2:$F$606,"24")</f>
        <v>0</v>
      </c>
      <c r="BW27" s="11">
        <f>SUMIFS('[1]Исходные данные'!$J$2:$J$606,'[1]Исходные данные'!$D$2:$D$606,"Отделкадр",'[1]Исходные данные'!$F$2:$F$606,"24")</f>
        <v>0</v>
      </c>
      <c r="BX27" s="11">
        <f>SUMIFS('[1]Исходные данные'!$I$2:$I$606,'[1]Исходные данные'!$D$2:$D$606,"ЦИТС.",'[1]Исходные данные'!$F$2:$F$606,"24")</f>
        <v>0</v>
      </c>
      <c r="BY27" s="11">
        <f>SUMIFS('[1]Исходные данные'!$J$2:$J$606,'[1]Исходные данные'!$D$2:$D$606,"ЦИТС.",'[1]Исходные данные'!$F$2:$F$606,"24")</f>
        <v>0</v>
      </c>
      <c r="BZ27" s="11">
        <f>SUMIFS('[1]Исходные данные'!$I$2:$I$606,'[1]Исходные данные'!$D$2:$D$606,"ОБО",'[1]Исходные данные'!$F$2:$F$606,"24")</f>
        <v>0</v>
      </c>
      <c r="CA27" s="11">
        <f>SUMIFS('[1]Исходные данные'!$J$2:$J$606,'[1]Исходные данные'!$D$2:$D$606,"ОБО",'[1]Исходные данные'!$F$2:$F$606,"24")</f>
        <v>0</v>
      </c>
      <c r="CB27" s="11">
        <f>SUMIFS('[1]Исходные данные'!$I$2:$I$606,'[1]Исходные данные'!$D$2:$D$606,"УЖЭО",'[1]Исходные данные'!$F$2:$F$606,"24")</f>
        <v>0</v>
      </c>
      <c r="CC27" s="11">
        <f>SUMIFS('[1]Исходные данные'!$J$2:$J$606,'[1]Исходные данные'!$D$2:$D$606,"УЖЭО",'[1]Исходные данные'!$F$2:$F$606,"24")</f>
        <v>0</v>
      </c>
      <c r="CD27" s="11">
        <f>SUMIFS('[1]Исходные данные'!$I$2:$I$606,'[1]Исходные данные'!$D$2:$D$606,"Мухтар/Хамит",'[1]Исходные данные'!$F$2:$F$606,"24")</f>
        <v>0</v>
      </c>
      <c r="CE27" s="11">
        <f>SUMIFS('[1]Исходные данные'!$J$2:$J$606,'[1]Исходные данные'!$D$2:$D$606,"Мухтар/Хамит",'[1]Исходные данные'!$F$2:$F$606,"24")</f>
        <v>0</v>
      </c>
      <c r="CF27" s="11">
        <f>SUMIFS('[1]Исходные данные'!$I$2:$I$606,'[1]Исходные данные'!$D$2:$D$606,"ОБО-    СБ",'[1]Исходные данные'!$F$2:$F$606,"24")</f>
        <v>0</v>
      </c>
      <c r="CG27" s="11">
        <f>SUMIFS('[1]Исходные данные'!$J$2:$J$606,'[1]Исходные данные'!$D$2:$D$606,"ОБО-    СБ",'[1]Исходные данные'!$F$2:$F$606,"24")</f>
        <v>0</v>
      </c>
      <c r="CH27" s="11">
        <f>SUMIFS('[1]Исходные данные'!$I$2:$I$606,'[1]Исходные данные'!$D$2:$D$606,"РМУ 2",'[1]Исходные данные'!$F$2:$F$606,"24")</f>
        <v>0</v>
      </c>
      <c r="CI27" s="11">
        <f>SUMIFS('[1]Исходные данные'!$J$2:$J$606,'[1]Исходные данные'!$D$2:$D$606,"РМУ 2",'[1]Исходные данные'!$F$2:$F$606,"24")</f>
        <v>0</v>
      </c>
      <c r="CJ27" s="11">
        <f>SUMIFS('[1]Исходные данные'!$I$2:$I$606,'[1]Исходные данные'!$D$2:$D$606,"ГАПиИТ",'[1]Исходные данные'!$F$2:$F$606,"24")</f>
        <v>0</v>
      </c>
      <c r="CK27" s="11">
        <f>SUMIFS('[1]Исходные данные'!$J$2:$J$606,'[1]Исходные данные'!$D$2:$D$606,"ГАПиИТ",'[1]Исходные данные'!$F$2:$F$606,"24")</f>
        <v>0</v>
      </c>
      <c r="CL27" s="11">
        <f>SUMIFS('[1]Исходные данные'!$I$2:$I$606,'[1]Исходные данные'!$D$2:$D$606,"ОМ",'[1]Исходные данные'!$F$2:$F$606,"24")</f>
        <v>0</v>
      </c>
      <c r="CM27" s="11">
        <f>SUMIFS('[1]Исходные данные'!$J$2:$J$606,'[1]Исходные данные'!$D$2:$D$606,"ОМ",'[1]Исходные данные'!$F$2:$F$606,"24")</f>
        <v>0</v>
      </c>
      <c r="CN27" s="11">
        <f>SUMIFS('[1]Исходные данные'!$I$2:$I$606,'[1]Исходные данные'!$D$2:$D$606,"оппоIR",'[1]Исходные данные'!$F$2:$F$606,"24")</f>
        <v>0</v>
      </c>
      <c r="CO27" s="11">
        <f>SUMIFS('[1]Исходные данные'!$J$2:$J$606,'[1]Исходные данные'!$D$2:$D$606,"оппоIR",'[1]Исходные данные'!$F$2:$F$606,"24")</f>
        <v>0</v>
      </c>
      <c r="CP27" s="11">
        <f>SUMIFS('[1]Исходные данные'!$I$2:$I$606,'[1]Исходные данные'!$D$2:$D$606,"Маркшейдер",'[1]Исходные данные'!$F$2:$F$606,"24")</f>
        <v>0</v>
      </c>
      <c r="CQ27" s="11">
        <f>SUMIFS('[1]Исходные данные'!$J$2:$J$606,'[1]Исходные данные'!$D$2:$D$606,"Маркшейдер",'[1]Исходные данные'!$F$2:$F$606,"24")</f>
        <v>0</v>
      </c>
      <c r="CR27" s="11">
        <f>SUMIFS('[1]Исходные данные'!$I$2:$I$606,'[1]Исходные данные'!$D$2:$D$606,"ПСО",'[1]Исходные данные'!$F$2:$F$606,"24")</f>
        <v>0</v>
      </c>
      <c r="CS27" s="11">
        <f>SUMIFS('[1]Исходные данные'!$J$2:$J$606,'[1]Исходные данные'!$D$2:$D$606,"ПСО",'[1]Исходные данные'!$F$2:$F$606,"24")</f>
        <v>0</v>
      </c>
    </row>
    <row r="28" spans="1:97" x14ac:dyDescent="0.25">
      <c r="A28" s="13" t="s">
        <v>101</v>
      </c>
      <c r="B28" s="11" t="s">
        <v>102</v>
      </c>
      <c r="C28" s="10">
        <f t="shared" si="0"/>
        <v>4</v>
      </c>
      <c r="D28" s="10">
        <f t="shared" si="1"/>
        <v>3</v>
      </c>
      <c r="E28" s="10">
        <f t="shared" si="1"/>
        <v>1</v>
      </c>
      <c r="F28" s="11">
        <f>SUMIFS('[1]Исходные данные'!$I$2:$I$606,'[1]Исходные данные'!$D$2:$D$606,"ЦДН-1",'[1]Исходные данные'!$F$2:$F$606,"51")</f>
        <v>0</v>
      </c>
      <c r="G28" s="11">
        <f>SUMIFS('[1]Исходные данные'!$J$2:$J$606,'[1]Исходные данные'!$D$2:$D$606,"ЦДН-1",'[1]Исходные данные'!$F$2:$F$606,"51")</f>
        <v>0</v>
      </c>
      <c r="H28" s="11">
        <f>SUMIFS('[1]Исходные данные'!$I$2:$I$606,'[1]Исходные данные'!$D$2:$D$606,"ЦДН-2",'[1]Исходные данные'!$F$2:$F$606,"51")</f>
        <v>0</v>
      </c>
      <c r="I28" s="11">
        <f>SUMIFS('[1]Исходные данные'!$J$2:$J$606,'[1]Исходные данные'!$D$2:$D$606,"ЦДН-2",'[1]Исходные данные'!$F$2:$F$606,"51")</f>
        <v>0</v>
      </c>
      <c r="J28" s="11">
        <f>SUMIFS('[1]Исходные данные'!$I$2:$I$606,'[1]Исходные данные'!$D$2:$D$606,"ЦДН-3",'[1]Исходные данные'!$F$2:$F$606,"51")</f>
        <v>0</v>
      </c>
      <c r="K28" s="11">
        <f>SUMIFS('[1]Исходные данные'!$J$2:$J$606,'[1]Исходные данные'!$D$2:$D$606,"ЦДН-3",'[1]Исходные данные'!$F$2:$F$606,"51")</f>
        <v>0</v>
      </c>
      <c r="L28" s="11">
        <f>SUMIFS('[1]Исходные данные'!$I$2:$I$606,'[1]Исходные данные'!$D$2:$D$606,"ЦППН",'[1]Исходные данные'!$F$2:$F$606,"51")</f>
        <v>0</v>
      </c>
      <c r="M28" s="11">
        <f>SUMIFS('[1]Исходные данные'!$J$2:$J$606,'[1]Исходные данные'!$D$2:$D$606,"ЦППН",'[1]Исходные данные'!$F$2:$F$606,"51")</f>
        <v>0</v>
      </c>
      <c r="N28" s="11">
        <f>SUMIFS('[1]Исходные данные'!$I$2:$I$606,'[1]Исходные данные'!$D$2:$D$606,"ЦППД",'[1]Исходные данные'!$F$2:$F$606,"51")</f>
        <v>0</v>
      </c>
      <c r="O28" s="11">
        <f>SUMIFS('[1]Исходные данные'!$J$2:$J$606,'[1]Исходные данные'!$D$2:$D$606,"ЦППД",'[1]Исходные данные'!$F$2:$F$606,"51")</f>
        <v>0</v>
      </c>
      <c r="P28" s="11">
        <f>SUMIFS('[1]Исходные данные'!$I$2:$I$606,'[1]Исходные данные'!$D$2:$D$606,"ЭЦ",'[1]Исходные данные'!$F$2:$F$606,"51")</f>
        <v>0</v>
      </c>
      <c r="Q28" s="11">
        <f>SUMIFS('[1]Исходные данные'!$J$2:$J$606,'[1]Исходные данные'!$D$2:$D$606,"ЭЦ",'[1]Исходные данные'!$F$2:$F$606,"51")</f>
        <v>0</v>
      </c>
      <c r="R28" s="11">
        <f>SUMIFS('[1]Исходные данные'!$I$2:$I$606,'[1]Исходные данные'!$D$2:$D$606,"ОКС",'[1]Исходные данные'!$F$2:$F$606,"51")</f>
        <v>0</v>
      </c>
      <c r="S28" s="11">
        <f>SUMIFS('[1]Исходные данные'!$J$2:$J$606,'[1]Исходные данные'!$D$2:$D$606,"ОКС",'[1]Исходные данные'!$F$2:$F$606,"51")</f>
        <v>0</v>
      </c>
      <c r="T28" s="11">
        <f>SUMIFS('[1]Исходные данные'!$I$2:$I$606,'[1]Исходные данные'!$D$2:$D$606,"РСЦ",'[1]Исходные данные'!$F$2:$F$606,"51")</f>
        <v>0</v>
      </c>
      <c r="U28" s="11">
        <f>SUMIFS('[1]Исходные данные'!$J$2:$J$606,'[1]Исходные данные'!$D$2:$D$606,"РСЦ",'[1]Исходные данные'!$F$2:$F$606,"51")</f>
        <v>0</v>
      </c>
      <c r="V28" s="11">
        <f>SUMIFS('[1]Исходные данные'!$I$2:$I$606,'[1]Исходные данные'!$D$2:$D$606,"ЦИТС",'[1]Исходные данные'!$F$2:$F$606,"51")</f>
        <v>0</v>
      </c>
      <c r="W28" s="11">
        <f>SUMIFS('[1]Исходные данные'!$J$2:$J$606,'[1]Исходные данные'!$D$2:$D$606,"ЦИТС",'[1]Исходные данные'!$F$2:$F$606,"51")</f>
        <v>0</v>
      </c>
      <c r="X28" s="11">
        <f>SUMIFS('[1]Исходные данные'!$I$2:$I$606,'[1]Исходные данные'!$D$2:$D$606,"ПРЦЭО",'[1]Исходные данные'!$F$2:$F$606,"51")</f>
        <v>0</v>
      </c>
      <c r="Y28" s="11">
        <f>SUMIFS('[1]Исходные данные'!$J$2:$J$606,'[1]Исходные данные'!$D$2:$D$606,"ПРЦЭО",'[1]Исходные данные'!$F$2:$F$606,"51")</f>
        <v>0</v>
      </c>
      <c r="Z28" s="11">
        <f>SUMIFS('[1]Исходные данные'!$I$2:$I$606,'[1]Исходные данные'!$D$2:$D$606,"ГЦ",'[1]Исходные данные'!$F$2:$F$606,"51")</f>
        <v>0</v>
      </c>
      <c r="AA28" s="11">
        <f>SUMIFS('[1]Исходные данные'!$J$2:$J$606,'[1]Исходные данные'!$D$2:$D$606,"ГЦ",'[1]Исходные данные'!$F$2:$F$606,"51")</f>
        <v>0</v>
      </c>
      <c r="AB28" s="11">
        <f>SUMIFS('[1]Исходные данные'!$I$2:$I$606,'[1]Исходные данные'!$D$2:$D$606,"ЦПП",'[1]Исходные данные'!$F$2:$F$606,"51")</f>
        <v>0</v>
      </c>
      <c r="AC28" s="11">
        <f>SUMIFS('[1]Исходные данные'!$J$2:$J$606,'[1]Исходные данные'!$D$2:$D$606,"ЦПП",'[1]Исходные данные'!$F$2:$F$606,"51")</f>
        <v>0</v>
      </c>
      <c r="AD28" s="11">
        <f>SUMIFS('[1]Исходные данные'!$I$2:$I$606,'[1]Исходные данные'!$D$2:$D$606,"БМТС",'[1]Исходные данные'!$F$2:$F$606,"51")</f>
        <v>0</v>
      </c>
      <c r="AE28" s="11">
        <f>SUMIFS('[1]Исходные данные'!$J$2:$J$606,'[1]Исходные данные'!$D$2:$D$606,"БМТС",'[1]Исходные данные'!$F$2:$F$606,"51")</f>
        <v>0</v>
      </c>
      <c r="AF28" s="11">
        <f>SUMIFS('[1]Исходные данные'!$I$2:$I$606,'[1]Исходные данные'!$D$2:$D$606,"УБиПКРС-1",'[1]Исходные данные'!$F$2:$F$606,"51")</f>
        <v>0</v>
      </c>
      <c r="AG28" s="11">
        <f>SUMIFS('[1]Исходные данные'!$J$2:$J$606,'[1]Исходные данные'!$D$2:$D$606,"УБиПКРС-1",'[1]Исходные данные'!$F$2:$F$606,"51")</f>
        <v>0</v>
      </c>
      <c r="AH28" s="11">
        <f>SUMIFS('[1]Исходные данные'!$I$2:$I$606,'[1]Исходные данные'!$D$2:$D$606,"УБиПКРС-2",'[1]Исходные данные'!$F$2:$F$606,"51")</f>
        <v>0</v>
      </c>
      <c r="AI28" s="11">
        <f>SUMIFS('[1]Исходные данные'!$J$2:$J$606,'[1]Исходные данные'!$D$2:$D$606,"УБиПКРС-2",'[1]Исходные данные'!$F$2:$F$606,"51")</f>
        <v>0</v>
      </c>
      <c r="AJ28" s="11">
        <f>SUMIFS('[1]Исходные данные'!$I$2:$I$606,'[1]Исходные данные'!$D$2:$D$606,"ДТТ-1",'[1]Исходные данные'!$F$2:$F$606,"51")</f>
        <v>0</v>
      </c>
      <c r="AK28" s="11">
        <f>SUMIFS('[1]Исходные данные'!$J$2:$J$606,'[1]Исходные данные'!$D$2:$D$606,"ДТТ-1",'[1]Исходные данные'!$F$2:$F$606,"51")</f>
        <v>0</v>
      </c>
      <c r="AL28" s="11">
        <f>SUMIFS('[1]Исходные данные'!$I$2:$I$606,'[1]Исходные данные'!$D$2:$D$606,"ЦНИПР",'[1]Исходные данные'!$F$2:$F$606,"51")</f>
        <v>0</v>
      </c>
      <c r="AM28" s="11">
        <f>SUMIFS('[1]Исходные данные'!$J$2:$J$606,'[1]Исходные данные'!$D$2:$D$606,"ЦНИПР",'[1]Исходные данные'!$F$2:$F$606,"51")</f>
        <v>0</v>
      </c>
      <c r="AN28" s="11">
        <f>SUMIFS('[1]Исходные данные'!$I$2:$I$606,'[1]Исходные данные'!$D$2:$D$606,"ОБиПКРС",'[1]Исходные данные'!$F$2:$F$606,"51")</f>
        <v>0</v>
      </c>
      <c r="AO28" s="11">
        <f>SUMIFS('[1]Исходные данные'!$J$2:$J$606,'[1]Исходные данные'!$D$2:$D$606,"ОБиПКРС",'[1]Исходные данные'!$F$2:$F$606,"51")</f>
        <v>0</v>
      </c>
      <c r="AP28" s="11">
        <f>SUMIFS('[1]Исходные данные'!$I$2:$I$606,'[1]Исходные данные'!$D$2:$D$606,"ЦАП",'[1]Исходные данные'!$F$2:$F$606,"51")</f>
        <v>0</v>
      </c>
      <c r="AQ28" s="11">
        <f>SUMIFS('[1]Исходные данные'!$J$2:$J$606,'[1]Исходные данные'!$D$2:$D$606,"ЦАП",'[1]Исходные данные'!$F$2:$F$606,"51")</f>
        <v>0</v>
      </c>
      <c r="AR28" s="11">
        <f>SUMIFS('[1]Исходные данные'!$I$2:$I$606,'[1]Исходные данные'!$D$2:$D$606,"ГООС",'[1]Исходные данные'!$F$2:$F$606,"51")</f>
        <v>0</v>
      </c>
      <c r="AS28" s="11">
        <f>SUMIFS('[1]Исходные данные'!$J$2:$J$606,'[1]Исходные данные'!$D$2:$D$606,"ГООС",'[1]Исходные данные'!$F$2:$F$606,"51")</f>
        <v>0</v>
      </c>
      <c r="AT28" s="11">
        <f>SUMIFS('[1]Исходные данные'!$I$2:$I$606,'[1]Исходные данные'!$D$2:$D$606,"Ақкетік",'[1]Исходные данные'!$F$2:$F$606,"51")</f>
        <v>0</v>
      </c>
      <c r="AU28" s="11">
        <f>SUMIFS('[1]Исходные данные'!$J$2:$J$606,'[1]Исходные данные'!$D$2:$D$606,"Ақкетік",'[1]Исходные данные'!$F$2:$F$606,"51")</f>
        <v>0</v>
      </c>
      <c r="AV28" s="11">
        <f>SUMIFS('[1]Исходные данные'!$I$2:$I$606,'[1]Исходные данные'!$D$2:$D$606,"Нейрон",'[1]Исходные данные'!$F$2:$F$606,"51")</f>
        <v>0</v>
      </c>
      <c r="AW28" s="11">
        <f>SUMIFS('[1]Исходные данные'!$J$2:$J$606,'[1]Исходные данные'!$D$2:$D$606,"Нейрон",'[1]Исходные данные'!$F$2:$F$606,"51")</f>
        <v>0</v>
      </c>
      <c r="AX28" s="11">
        <f>SUMIFS('[1]Исходные данные'!$I$2:$I$606,'[1]Исходные данные'!$D$2:$D$606,"Бурение",'[1]Исходные данные'!$F$2:$F$606,"51")</f>
        <v>0</v>
      </c>
      <c r="AY28" s="11">
        <f>SUMIFS('[1]Исходные данные'!$J$2:$J$606,'[1]Исходные данные'!$D$2:$D$606,"Бурение",'[1]Исходные данные'!$F$2:$F$606,"51")</f>
        <v>0</v>
      </c>
      <c r="AZ28" s="11">
        <f>SUMIFS('[1]Исходные данные'!$I$2:$I$606,'[1]Исходные данные'!$D$2:$D$606,"ЦТВС",'[1]Исходные данные'!$F$2:$F$606,"51")</f>
        <v>3</v>
      </c>
      <c r="BA28" s="11">
        <f>SUMIFS('[1]Исходные данные'!$J$2:$J$606,'[1]Исходные данные'!$D$2:$D$606,"ЦТВС",'[1]Исходные данные'!$F$2:$F$606,"51")</f>
        <v>1</v>
      </c>
      <c r="BB28" s="11">
        <f>SUMIFS('[1]Исходные данные'!$I$2:$I$606,'[1]Исходные данные'!$D$2:$D$606,"ТБ",'[1]Исходные данные'!$F$2:$F$606,"51")</f>
        <v>0</v>
      </c>
      <c r="BC28" s="11">
        <f>SUMIFS('[1]Исходные данные'!$J$2:$J$606,'[1]Исходные данные'!$D$2:$D$606,"ТБ",'[1]Исходные данные'!$F$2:$F$606,"51")</f>
        <v>0</v>
      </c>
      <c r="BD28" s="11">
        <f>SUMIFS('[1]Исходные данные'!$I$2:$I$606,'[1]Исходные данные'!$D$2:$D$606,"ОТДН",'[1]Исходные данные'!$F$2:$F$606,"51")</f>
        <v>0</v>
      </c>
      <c r="BE28" s="11">
        <f>SUMIFS('[1]Исходные данные'!$J$2:$J$606,'[1]Исходные данные'!$D$2:$D$606,"ОТДН",'[1]Исходные данные'!$F$2:$F$606,"51")</f>
        <v>0</v>
      </c>
      <c r="BF28" s="11">
        <f>SUMIFS('[1]Исходные данные'!$I$2:$I$606,'[1]Исходные данные'!$D$2:$D$606,"ПЧ-Семсер",'[1]Исходные данные'!$F$2:$F$606,"51")</f>
        <v>0</v>
      </c>
      <c r="BG28" s="11">
        <f>SUMIFS('[1]Исходные данные'!$J$2:$J$606,'[1]Исходные данные'!$D$2:$D$606,"ПЧ-Семсер",'[1]Исходные данные'!$F$2:$F$606,"51")</f>
        <v>0</v>
      </c>
      <c r="BH28" s="11">
        <f>SUMIFS('[1]Исходные данные'!$I$2:$I$606,'[1]Исходные данные'!$D$2:$D$606,"ПРЦЭО(2)",'[1]Исходные данные'!$F$2:$F$606,"51")</f>
        <v>0</v>
      </c>
      <c r="BI28" s="11">
        <f>SUMIFS('[1]Исходные данные'!$J$2:$J$606,'[1]Исходные данные'!$D$2:$D$606,"ПРЦЭО(2)",'[1]Исходные данные'!$F$2:$F$606,"51")</f>
        <v>0</v>
      </c>
      <c r="BJ28" s="11">
        <f>SUMIFS('[1]Исходные данные'!$I$2:$I$606,'[1]Исходные данные'!$D$2:$D$606,"БД",'[1]Исходные данные'!$F$2:$F$606,"51")</f>
        <v>0</v>
      </c>
      <c r="BK28" s="11">
        <f>SUMIFS('[1]Исходные данные'!$J$2:$J$606,'[1]Исходные данные'!$D$2:$D$606,"БД",'[1]Исходные данные'!$F$2:$F$606,"51")</f>
        <v>0</v>
      </c>
      <c r="BL28" s="11">
        <f>SUMIFS('[1]Исходные данные'!$I$2:$I$606,'[1]Исходные данные'!$D$2:$D$606,"ОГиР",'[1]Исходные данные'!$F$2:$F$606,"51")</f>
        <v>0</v>
      </c>
      <c r="BM28" s="11">
        <f>SUMIFS('[1]Исходные данные'!$J$2:$J$606,'[1]Исходные данные'!$D$2:$D$606,"ОГиР",'[1]Исходные данные'!$F$2:$F$606,"51")</f>
        <v>0</v>
      </c>
      <c r="BN28" s="11">
        <f>SUMIFS('[1]Исходные данные'!$I$2:$I$606,'[1]Исходные данные'!$D$2:$D$606,"ГСРиВК",'[1]Исходные данные'!$F$2:$F$606,"51")</f>
        <v>0</v>
      </c>
      <c r="BO28" s="11">
        <f>SUMIFS('[1]Исходные данные'!$J$2:$J$606,'[1]Исходные данные'!$D$2:$D$606,"ГСРиВК",'[1]Исходные данные'!$F$2:$F$606,"51")</f>
        <v>0</v>
      </c>
      <c r="BP28" s="11">
        <f>SUMIFS('[1]Исходные данные'!$I$2:$I$606,'[1]Исходные данные'!$D$2:$D$606,"МПГУ",'[1]Исходные данные'!$F$2:$F$606,"51")</f>
        <v>0</v>
      </c>
      <c r="BQ28" s="11">
        <f>SUMIFS('[1]Исходные данные'!$J$2:$J$606,'[1]Исходные данные'!$D$2:$D$606,"МПГУ",'[1]Исходные данные'!$F$2:$F$606,"51")</f>
        <v>0</v>
      </c>
      <c r="BR28" s="11">
        <f>SUMIFS('[1]Исходные данные'!$I$2:$I$606,'[1]Исходные данные'!$D$2:$D$606,"БПО 2",'[1]Исходные данные'!$F$2:$F$606,"51")</f>
        <v>0</v>
      </c>
      <c r="BS28" s="11">
        <f>SUMIFS('[1]Исходные данные'!$J$2:$J$606,'[1]Исходные данные'!$D$2:$D$606,"БПО 2",'[1]Исходные данные'!$F$2:$F$606,"51")</f>
        <v>0</v>
      </c>
      <c r="BT28" s="11">
        <f>SUMIFS('[1]Исходные данные'!$I$2:$I$606,'[1]Исходные данные'!$D$2:$D$606,"ЛД",'[1]Исходные данные'!$F$2:$F$606,"51")</f>
        <v>0</v>
      </c>
      <c r="BU28" s="11">
        <f>SUMIFS('[1]Исходные данные'!$J$2:$J$606,'[1]Исходные данные'!$D$2:$D$606,"ЛД",'[1]Исходные данные'!$F$2:$F$606,"51")</f>
        <v>0</v>
      </c>
      <c r="BV28" s="11">
        <f>SUMIFS('[1]Исходные данные'!$I$2:$I$606,'[1]Исходные данные'!$D$2:$D$606,"Отделкадр",'[1]Исходные данные'!$F$2:$F$606,"51")</f>
        <v>0</v>
      </c>
      <c r="BW28" s="11">
        <f>SUMIFS('[1]Исходные данные'!$J$2:$J$606,'[1]Исходные данные'!$D$2:$D$606,"Отделкадр",'[1]Исходные данные'!$F$2:$F$606,"51")</f>
        <v>0</v>
      </c>
      <c r="BX28" s="11">
        <f>SUMIFS('[1]Исходные данные'!$I$2:$I$606,'[1]Исходные данные'!$D$2:$D$606,"ЦИТС.",'[1]Исходные данные'!$F$2:$F$606,"51")</f>
        <v>0</v>
      </c>
      <c r="BY28" s="11">
        <f>SUMIFS('[1]Исходные данные'!$J$2:$J$606,'[1]Исходные данные'!$D$2:$D$606,"ЦИТС.",'[1]Исходные данные'!$F$2:$F$606,"51")</f>
        <v>0</v>
      </c>
      <c r="BZ28" s="11">
        <f>SUMIFS('[1]Исходные данные'!$I$2:$I$606,'[1]Исходные данные'!$D$2:$D$606,"ОБО",'[1]Исходные данные'!$F$2:$F$606,"51")</f>
        <v>0</v>
      </c>
      <c r="CA28" s="11">
        <f>SUMIFS('[1]Исходные данные'!$J$2:$J$606,'[1]Исходные данные'!$D$2:$D$606,"ОБО",'[1]Исходные данные'!$F$2:$F$606,"51")</f>
        <v>0</v>
      </c>
      <c r="CB28" s="11">
        <f>SUMIFS('[1]Исходные данные'!$I$2:$I$606,'[1]Исходные данные'!$D$2:$D$606,"УЖЭО",'[1]Исходные данные'!$F$2:$F$606,"51")</f>
        <v>0</v>
      </c>
      <c r="CC28" s="11">
        <f>SUMIFS('[1]Исходные данные'!$J$2:$J$606,'[1]Исходные данные'!$D$2:$D$606,"УЖЭО",'[1]Исходные данные'!$F$2:$F$606,"51")</f>
        <v>0</v>
      </c>
      <c r="CD28" s="11">
        <f>SUMIFS('[1]Исходные данные'!$I$2:$I$606,'[1]Исходные данные'!$D$2:$D$606,"Мухтар/Хамит",'[1]Исходные данные'!$F$2:$F$606,"51")</f>
        <v>0</v>
      </c>
      <c r="CE28" s="11">
        <f>SUMIFS('[1]Исходные данные'!$J$2:$J$606,'[1]Исходные данные'!$D$2:$D$606,"Мухтар/Хамит",'[1]Исходные данные'!$F$2:$F$606,"51")</f>
        <v>0</v>
      </c>
      <c r="CF28" s="11">
        <f>SUMIFS('[1]Исходные данные'!$I$2:$I$606,'[1]Исходные данные'!$D$2:$D$606,"ОБО-    СБ",'[1]Исходные данные'!$F$2:$F$606,"51")</f>
        <v>0</v>
      </c>
      <c r="CG28" s="11">
        <f>SUMIFS('[1]Исходные данные'!$J$2:$J$606,'[1]Исходные данные'!$D$2:$D$606,"ОБО-    СБ",'[1]Исходные данные'!$F$2:$F$606,"51")</f>
        <v>0</v>
      </c>
      <c r="CH28" s="11">
        <f>SUMIFS('[1]Исходные данные'!$I$2:$I$606,'[1]Исходные данные'!$D$2:$D$606,"РМУ 2",'[1]Исходные данные'!$F$2:$F$606,"51")</f>
        <v>0</v>
      </c>
      <c r="CI28" s="11">
        <f>SUMIFS('[1]Исходные данные'!$J$2:$J$606,'[1]Исходные данные'!$D$2:$D$606,"РМУ 2",'[1]Исходные данные'!$F$2:$F$606,"51")</f>
        <v>0</v>
      </c>
      <c r="CJ28" s="11">
        <f>SUMIFS('[1]Исходные данные'!$I$2:$I$606,'[1]Исходные данные'!$D$2:$D$606,"ГАПиИТ",'[1]Исходные данные'!$F$2:$F$606,"51")</f>
        <v>0</v>
      </c>
      <c r="CK28" s="11">
        <f>SUMIFS('[1]Исходные данные'!$J$2:$J$606,'[1]Исходные данные'!$D$2:$D$606,"ГАПиИТ",'[1]Исходные данные'!$F$2:$F$606,"51")</f>
        <v>0</v>
      </c>
      <c r="CL28" s="11">
        <f>SUMIFS('[1]Исходные данные'!$I$2:$I$606,'[1]Исходные данные'!$D$2:$D$606,"ОМ",'[1]Исходные данные'!$F$2:$F$606,"51")</f>
        <v>0</v>
      </c>
      <c r="CM28" s="11">
        <f>SUMIFS('[1]Исходные данные'!$J$2:$J$606,'[1]Исходные данные'!$D$2:$D$606,"ОМ",'[1]Исходные данные'!$F$2:$F$606,"51")</f>
        <v>0</v>
      </c>
      <c r="CN28" s="11">
        <f>SUMIFS('[1]Исходные данные'!$I$2:$I$606,'[1]Исходные данные'!$D$2:$D$606,"оппоIR",'[1]Исходные данные'!$F$2:$F$606,"51")</f>
        <v>0</v>
      </c>
      <c r="CO28" s="11">
        <f>SUMIFS('[1]Исходные данные'!$J$2:$J$606,'[1]Исходные данные'!$D$2:$D$606,"оппоIR",'[1]Исходные данные'!$F$2:$F$606,"51")</f>
        <v>0</v>
      </c>
      <c r="CP28" s="11">
        <f>SUMIFS('[1]Исходные данные'!$I$2:$I$606,'[1]Исходные данные'!$D$2:$D$606,"Маркшейдер",'[1]Исходные данные'!$F$2:$F$606,"51")</f>
        <v>0</v>
      </c>
      <c r="CQ28" s="11">
        <f>SUMIFS('[1]Исходные данные'!$J$2:$J$606,'[1]Исходные данные'!$D$2:$D$606,"Маркшейдер",'[1]Исходные данные'!$F$2:$F$606,"51")</f>
        <v>0</v>
      </c>
      <c r="CR28" s="11">
        <f>SUMIFS('[1]Исходные данные'!$I$2:$I$606,'[1]Исходные данные'!$D$2:$D$606,"ПСО",'[1]Исходные данные'!$F$2:$F$606,"51")</f>
        <v>0</v>
      </c>
      <c r="CS28" s="11">
        <f>SUMIFS('[1]Исходные данные'!$J$2:$J$606,'[1]Исходные данные'!$D$2:$D$606,"ПСО",'[1]Исходные данные'!$F$2:$F$606,"51")</f>
        <v>0</v>
      </c>
    </row>
    <row r="29" spans="1:97" x14ac:dyDescent="0.25">
      <c r="A29" s="13" t="s">
        <v>103</v>
      </c>
      <c r="B29" s="11" t="s">
        <v>104</v>
      </c>
      <c r="C29" s="10">
        <f t="shared" si="0"/>
        <v>4</v>
      </c>
      <c r="D29" s="10">
        <f t="shared" si="1"/>
        <v>4</v>
      </c>
      <c r="E29" s="10">
        <f t="shared" si="1"/>
        <v>0</v>
      </c>
      <c r="F29" s="11">
        <f>SUMIFS('[1]Исходные данные'!$I$2:$I$606,'[1]Исходные данные'!$D$2:$D$606,"ЦДН-1",'[1]Исходные данные'!$F$2:$F$606,"37")</f>
        <v>0</v>
      </c>
      <c r="G29" s="11">
        <f>SUMIFS('[1]Исходные данные'!$J$2:$J$606,'[1]Исходные данные'!$D$2:$D$606,"ЦДН-1",'[1]Исходные данные'!$F$2:$F$606,"37")</f>
        <v>0</v>
      </c>
      <c r="H29" s="11">
        <f>SUMIFS('[1]Исходные данные'!$I$2:$I$606,'[1]Исходные данные'!$D$2:$D$606,"ЦДН-2",'[1]Исходные данные'!$F$2:$F$606,"37")</f>
        <v>0</v>
      </c>
      <c r="I29" s="11">
        <f>SUMIFS('[1]Исходные данные'!$J$2:$J$606,'[1]Исходные данные'!$D$2:$D$606,"ЦДН-2",'[1]Исходные данные'!$F$2:$F$606,"37")</f>
        <v>0</v>
      </c>
      <c r="J29" s="11">
        <f>SUMIFS('[1]Исходные данные'!$I$2:$I$606,'[1]Исходные данные'!$D$2:$D$606,"ЦДН-3",'[1]Исходные данные'!$F$2:$F$606,"37")</f>
        <v>0</v>
      </c>
      <c r="K29" s="11">
        <f>SUMIFS('[1]Исходные данные'!$J$2:$J$606,'[1]Исходные данные'!$D$2:$D$606,"ЦДН-3",'[1]Исходные данные'!$F$2:$F$606,"37")</f>
        <v>0</v>
      </c>
      <c r="L29" s="11">
        <f>SUMIFS('[1]Исходные данные'!$I$2:$I$606,'[1]Исходные данные'!$D$2:$D$606,"ЦППН",'[1]Исходные данные'!$F$2:$F$606,"37")</f>
        <v>0</v>
      </c>
      <c r="M29" s="11">
        <f>SUMIFS('[1]Исходные данные'!$J$2:$J$606,'[1]Исходные данные'!$D$2:$D$606,"ЦППН",'[1]Исходные данные'!$F$2:$F$606,"37")</f>
        <v>0</v>
      </c>
      <c r="N29" s="11">
        <f>SUMIFS('[1]Исходные данные'!$I$2:$I$606,'[1]Исходные данные'!$D$2:$D$606,"ЦППД",'[1]Исходные данные'!$F$2:$F$606,"37")</f>
        <v>0</v>
      </c>
      <c r="O29" s="11">
        <f>SUMIFS('[1]Исходные данные'!$J$2:$J$606,'[1]Исходные данные'!$D$2:$D$606,"ЦППД",'[1]Исходные данные'!$F$2:$F$606,"37")</f>
        <v>0</v>
      </c>
      <c r="P29" s="11">
        <f>SUMIFS('[1]Исходные данные'!$I$2:$I$606,'[1]Исходные данные'!$D$2:$D$606,"ЭЦ",'[1]Исходные данные'!$F$2:$F$606,"37")</f>
        <v>0</v>
      </c>
      <c r="Q29" s="11">
        <f>SUMIFS('[1]Исходные данные'!$J$2:$J$606,'[1]Исходные данные'!$D$2:$D$606,"ЭЦ",'[1]Исходные данные'!$F$2:$F$606,"37")</f>
        <v>0</v>
      </c>
      <c r="R29" s="11">
        <f>SUMIFS('[1]Исходные данные'!$I$2:$I$606,'[1]Исходные данные'!$D$2:$D$606,"ОКС",'[1]Исходные данные'!$F$2:$F$606,"37")</f>
        <v>0</v>
      </c>
      <c r="S29" s="11">
        <f>SUMIFS('[1]Исходные данные'!$J$2:$J$606,'[1]Исходные данные'!$D$2:$D$606,"ОКС",'[1]Исходные данные'!$F$2:$F$606,"37")</f>
        <v>0</v>
      </c>
      <c r="T29" s="11">
        <f>SUMIFS('[1]Исходные данные'!$I$2:$I$606,'[1]Исходные данные'!$D$2:$D$606,"РСЦ",'[1]Исходные данные'!$F$2:$F$606,"37")</f>
        <v>0</v>
      </c>
      <c r="U29" s="11">
        <f>SUMIFS('[1]Исходные данные'!$J$2:$J$606,'[1]Исходные данные'!$D$2:$D$606,"РСЦ",'[1]Исходные данные'!$F$2:$F$606,"37")</f>
        <v>0</v>
      </c>
      <c r="V29" s="11">
        <f>SUMIFS('[1]Исходные данные'!$I$2:$I$606,'[1]Исходные данные'!$D$2:$D$606,"ЦИТС",'[1]Исходные данные'!$F$2:$F$606,"37")</f>
        <v>0</v>
      </c>
      <c r="W29" s="11">
        <f>SUMIFS('[1]Исходные данные'!$J$2:$J$606,'[1]Исходные данные'!$D$2:$D$606,"ЦИТС",'[1]Исходные данные'!$F$2:$F$606,"37")</f>
        <v>0</v>
      </c>
      <c r="X29" s="11">
        <f>SUMIFS('[1]Исходные данные'!$I$2:$I$606,'[1]Исходные данные'!$D$2:$D$606,"ПРЦЭО",'[1]Исходные данные'!$F$2:$F$606,"37")</f>
        <v>0</v>
      </c>
      <c r="Y29" s="11">
        <f>SUMIFS('[1]Исходные данные'!$J$2:$J$606,'[1]Исходные данные'!$D$2:$D$606,"ПРЦЭО",'[1]Исходные данные'!$F$2:$F$606,"37")</f>
        <v>0</v>
      </c>
      <c r="Z29" s="11">
        <f>SUMIFS('[1]Исходные данные'!$I$2:$I$606,'[1]Исходные данные'!$D$2:$D$606,"ГЦ",'[1]Исходные данные'!$F$2:$F$606,"37")</f>
        <v>0</v>
      </c>
      <c r="AA29" s="11">
        <f>SUMIFS('[1]Исходные данные'!$J$2:$J$606,'[1]Исходные данные'!$D$2:$D$606,"ГЦ",'[1]Исходные данные'!$F$2:$F$606,"37")</f>
        <v>0</v>
      </c>
      <c r="AB29" s="11">
        <f>SUMIFS('[1]Исходные данные'!$I$2:$I$606,'[1]Исходные данные'!$D$2:$D$606,"ЦПП",'[1]Исходные данные'!$F$2:$F$606,"37")</f>
        <v>0</v>
      </c>
      <c r="AC29" s="11">
        <f>SUMIFS('[1]Исходные данные'!$J$2:$J$606,'[1]Исходные данные'!$D$2:$D$606,"ЦПП",'[1]Исходные данные'!$F$2:$F$606,"37")</f>
        <v>0</v>
      </c>
      <c r="AD29" s="11">
        <f>SUMIFS('[1]Исходные данные'!$I$2:$I$606,'[1]Исходные данные'!$D$2:$D$606,"БМТС",'[1]Исходные данные'!$F$2:$F$606,"37")</f>
        <v>4</v>
      </c>
      <c r="AE29" s="11">
        <f>SUMIFS('[1]Исходные данные'!$J$2:$J$606,'[1]Исходные данные'!$D$2:$D$606,"БМТС",'[1]Исходные данные'!$F$2:$F$606,"37")</f>
        <v>0</v>
      </c>
      <c r="AF29" s="11">
        <f>SUMIFS('[1]Исходные данные'!$I$2:$I$606,'[1]Исходные данные'!$D$2:$D$606,"УБиПКРС-1",'[1]Исходные данные'!$F$2:$F$606,"37")</f>
        <v>0</v>
      </c>
      <c r="AG29" s="11">
        <f>SUMIFS('[1]Исходные данные'!$J$2:$J$606,'[1]Исходные данные'!$D$2:$D$606,"УБиПКРС-1",'[1]Исходные данные'!$F$2:$F$606,"37")</f>
        <v>0</v>
      </c>
      <c r="AH29" s="11">
        <f>SUMIFS('[1]Исходные данные'!$I$2:$I$606,'[1]Исходные данные'!$D$2:$D$606,"УБиПКРС-2",'[1]Исходные данные'!$F$2:$F$606,"37")</f>
        <v>0</v>
      </c>
      <c r="AI29" s="11">
        <f>SUMIFS('[1]Исходные данные'!$J$2:$J$606,'[1]Исходные данные'!$D$2:$D$606,"УБиПКРС-2",'[1]Исходные данные'!$F$2:$F$606,"37")</f>
        <v>0</v>
      </c>
      <c r="AJ29" s="11">
        <f>SUMIFS('[1]Исходные данные'!$I$2:$I$606,'[1]Исходные данные'!$D$2:$D$606,"ДТТ-1",'[1]Исходные данные'!$F$2:$F$606,"37")</f>
        <v>0</v>
      </c>
      <c r="AK29" s="11">
        <f>SUMIFS('[1]Исходные данные'!$J$2:$J$606,'[1]Исходные данные'!$D$2:$D$606,"ДТТ-1",'[1]Исходные данные'!$F$2:$F$606,"37")</f>
        <v>0</v>
      </c>
      <c r="AL29" s="11">
        <f>SUMIFS('[1]Исходные данные'!$I$2:$I$606,'[1]Исходные данные'!$D$2:$D$606,"ЦНИПР",'[1]Исходные данные'!$F$2:$F$606,"37")</f>
        <v>0</v>
      </c>
      <c r="AM29" s="11">
        <f>SUMIFS('[1]Исходные данные'!$J$2:$J$606,'[1]Исходные данные'!$D$2:$D$606,"ЦНИПР",'[1]Исходные данные'!$F$2:$F$606,"37")</f>
        <v>0</v>
      </c>
      <c r="AN29" s="11">
        <f>SUMIFS('[1]Исходные данные'!$I$2:$I$606,'[1]Исходные данные'!$D$2:$D$606,"ОБиПКРС",'[1]Исходные данные'!$F$2:$F$606,"37")</f>
        <v>0</v>
      </c>
      <c r="AO29" s="11">
        <f>SUMIFS('[1]Исходные данные'!$J$2:$J$606,'[1]Исходные данные'!$D$2:$D$606,"ОБиПКРС",'[1]Исходные данные'!$F$2:$F$606,"37")</f>
        <v>0</v>
      </c>
      <c r="AP29" s="11">
        <f>SUMIFS('[1]Исходные данные'!$I$2:$I$606,'[1]Исходные данные'!$D$2:$D$606,"ЦАП",'[1]Исходные данные'!$F$2:$F$606,"37")</f>
        <v>0</v>
      </c>
      <c r="AQ29" s="11">
        <f>SUMIFS('[1]Исходные данные'!$J$2:$J$606,'[1]Исходные данные'!$D$2:$D$606,"ЦАП",'[1]Исходные данные'!$F$2:$F$606,"37")</f>
        <v>0</v>
      </c>
      <c r="AR29" s="11">
        <f>SUMIFS('[1]Исходные данные'!$I$2:$I$606,'[1]Исходные данные'!$D$2:$D$606,"ГООС",'[1]Исходные данные'!$F$2:$F$606,"37")</f>
        <v>0</v>
      </c>
      <c r="AS29" s="11">
        <f>SUMIFS('[1]Исходные данные'!$J$2:$J$606,'[1]Исходные данные'!$D$2:$D$606,"ГООС",'[1]Исходные данные'!$F$2:$F$606,"37")</f>
        <v>0</v>
      </c>
      <c r="AT29" s="11">
        <f>SUMIFS('[1]Исходные данные'!$I$2:$I$606,'[1]Исходные данные'!$D$2:$D$606,"Ақкетік",'[1]Исходные данные'!$F$2:$F$606,"37")</f>
        <v>0</v>
      </c>
      <c r="AU29" s="11">
        <f>SUMIFS('[1]Исходные данные'!$J$2:$J$606,'[1]Исходные данные'!$D$2:$D$606,"Ақкетік",'[1]Исходные данные'!$F$2:$F$606,"37")</f>
        <v>0</v>
      </c>
      <c r="AV29" s="11">
        <f>SUMIFS('[1]Исходные данные'!$I$2:$I$606,'[1]Исходные данные'!$D$2:$D$606,"Нейрон",'[1]Исходные данные'!$F$2:$F$606,"37")</f>
        <v>0</v>
      </c>
      <c r="AW29" s="11">
        <f>SUMIFS('[1]Исходные данные'!$J$2:$J$606,'[1]Исходные данные'!$D$2:$D$606,"Нейрон",'[1]Исходные данные'!$F$2:$F$606,"37")</f>
        <v>0</v>
      </c>
      <c r="AX29" s="11">
        <f>SUMIFS('[1]Исходные данные'!$I$2:$I$606,'[1]Исходные данные'!$D$2:$D$606,"Бурение",'[1]Исходные данные'!$F$2:$F$606,"37")</f>
        <v>0</v>
      </c>
      <c r="AY29" s="11">
        <f>SUMIFS('[1]Исходные данные'!$J$2:$J$606,'[1]Исходные данные'!$D$2:$D$606,"Бурение",'[1]Исходные данные'!$F$2:$F$606,"37")</f>
        <v>0</v>
      </c>
      <c r="AZ29" s="11">
        <f>SUMIFS('[1]Исходные данные'!$I$2:$I$606,'[1]Исходные данные'!$D$2:$D$606,"ЦТВС",'[1]Исходные данные'!$F$2:$F$606,"37")</f>
        <v>0</v>
      </c>
      <c r="BA29" s="11">
        <f>SUMIFS('[1]Исходные данные'!$J$2:$J$606,'[1]Исходные данные'!$D$2:$D$606,"ЦТВС",'[1]Исходные данные'!$F$2:$F$606,"37")</f>
        <v>0</v>
      </c>
      <c r="BB29" s="11">
        <f>SUMIFS('[1]Исходные данные'!$I$2:$I$606,'[1]Исходные данные'!$D$2:$D$606,"ТБ",'[1]Исходные данные'!$F$2:$F$606,"37")</f>
        <v>0</v>
      </c>
      <c r="BC29" s="11">
        <f>SUMIFS('[1]Исходные данные'!$J$2:$J$606,'[1]Исходные данные'!$D$2:$D$606,"ТБ",'[1]Исходные данные'!$F$2:$F$606,"37")</f>
        <v>0</v>
      </c>
      <c r="BD29" s="11">
        <f>SUMIFS('[1]Исходные данные'!$I$2:$I$606,'[1]Исходные данные'!$D$2:$D$606,"ОТДН",'[1]Исходные данные'!$F$2:$F$606,"37")</f>
        <v>0</v>
      </c>
      <c r="BE29" s="11">
        <f>SUMIFS('[1]Исходные данные'!$J$2:$J$606,'[1]Исходные данные'!$D$2:$D$606,"ОТДН",'[1]Исходные данные'!$F$2:$F$606,"37")</f>
        <v>0</v>
      </c>
      <c r="BF29" s="11">
        <f>SUMIFS('[1]Исходные данные'!$I$2:$I$606,'[1]Исходные данные'!$D$2:$D$606,"ПЧ-Семсер",'[1]Исходные данные'!$F$2:$F$606,"37")</f>
        <v>0</v>
      </c>
      <c r="BG29" s="11">
        <f>SUMIFS('[1]Исходные данные'!$J$2:$J$606,'[1]Исходные данные'!$D$2:$D$606,"ПЧ-Семсер",'[1]Исходные данные'!$F$2:$F$606,"37")</f>
        <v>0</v>
      </c>
      <c r="BH29" s="11">
        <f>SUMIFS('[1]Исходные данные'!$I$2:$I$606,'[1]Исходные данные'!$D$2:$D$606,"ПРЦЭО(2)",'[1]Исходные данные'!$F$2:$F$606,"37")</f>
        <v>0</v>
      </c>
      <c r="BI29" s="11">
        <f>SUMIFS('[1]Исходные данные'!$J$2:$J$606,'[1]Исходные данные'!$D$2:$D$606,"ПРЦЭО(2)",'[1]Исходные данные'!$F$2:$F$606,"37")</f>
        <v>0</v>
      </c>
      <c r="BJ29" s="11">
        <f>SUMIFS('[1]Исходные данные'!$I$2:$I$606,'[1]Исходные данные'!$D$2:$D$606,"БД",'[1]Исходные данные'!$F$2:$F$606,"37")</f>
        <v>0</v>
      </c>
      <c r="BK29" s="11">
        <f>SUMIFS('[1]Исходные данные'!$J$2:$J$606,'[1]Исходные данные'!$D$2:$D$606,"БД",'[1]Исходные данные'!$F$2:$F$606,"37")</f>
        <v>0</v>
      </c>
      <c r="BL29" s="11">
        <f>SUMIFS('[1]Исходные данные'!$I$2:$I$606,'[1]Исходные данные'!$D$2:$D$606,"ОГиР",'[1]Исходные данные'!$F$2:$F$606,"37")</f>
        <v>0</v>
      </c>
      <c r="BM29" s="11">
        <f>SUMIFS('[1]Исходные данные'!$J$2:$J$606,'[1]Исходные данные'!$D$2:$D$606,"ОГиР",'[1]Исходные данные'!$F$2:$F$606,"37")</f>
        <v>0</v>
      </c>
      <c r="BN29" s="11">
        <f>SUMIFS('[1]Исходные данные'!$I$2:$I$606,'[1]Исходные данные'!$D$2:$D$606,"ГСРиВК",'[1]Исходные данные'!$F$2:$F$606,"37")</f>
        <v>0</v>
      </c>
      <c r="BO29" s="11">
        <f>SUMIFS('[1]Исходные данные'!$J$2:$J$606,'[1]Исходные данные'!$D$2:$D$606,"ГСРиВК",'[1]Исходные данные'!$F$2:$F$606,"37")</f>
        <v>0</v>
      </c>
      <c r="BP29" s="11">
        <f>SUMIFS('[1]Исходные данные'!$I$2:$I$606,'[1]Исходные данные'!$D$2:$D$606,"МПГУ",'[1]Исходные данные'!$F$2:$F$606,"37")</f>
        <v>0</v>
      </c>
      <c r="BQ29" s="11">
        <f>SUMIFS('[1]Исходные данные'!$J$2:$J$606,'[1]Исходные данные'!$D$2:$D$606,"МПГУ",'[1]Исходные данные'!$F$2:$F$606,"37")</f>
        <v>0</v>
      </c>
      <c r="BR29" s="11">
        <f>SUMIFS('[1]Исходные данные'!$I$2:$I$606,'[1]Исходные данные'!$D$2:$D$606,"БПО 2",'[1]Исходные данные'!$F$2:$F$606,"37")</f>
        <v>0</v>
      </c>
      <c r="BS29" s="11">
        <f>SUMIFS('[1]Исходные данные'!$J$2:$J$606,'[1]Исходные данные'!$D$2:$D$606,"БПО 2",'[1]Исходные данные'!$F$2:$F$606,"37")</f>
        <v>0</v>
      </c>
      <c r="BT29" s="11">
        <f>SUMIFS('[1]Исходные данные'!$I$2:$I$606,'[1]Исходные данные'!$D$2:$D$606,"ЛД",'[1]Исходные данные'!$F$2:$F$606,"37")</f>
        <v>0</v>
      </c>
      <c r="BU29" s="11">
        <f>SUMIFS('[1]Исходные данные'!$J$2:$J$606,'[1]Исходные данные'!$D$2:$D$606,"ЛД",'[1]Исходные данные'!$F$2:$F$606,"37")</f>
        <v>0</v>
      </c>
      <c r="BV29" s="11">
        <f>SUMIFS('[1]Исходные данные'!$I$2:$I$606,'[1]Исходные данные'!$D$2:$D$606,"Отделкадр",'[1]Исходные данные'!$F$2:$F$606,"37")</f>
        <v>0</v>
      </c>
      <c r="BW29" s="11">
        <f>SUMIFS('[1]Исходные данные'!$J$2:$J$606,'[1]Исходные данные'!$D$2:$D$606,"Отделкадр",'[1]Исходные данные'!$F$2:$F$606,"37")</f>
        <v>0</v>
      </c>
      <c r="BX29" s="11">
        <f>SUMIFS('[1]Исходные данные'!$I$2:$I$606,'[1]Исходные данные'!$D$2:$D$606,"ЦИТС.",'[1]Исходные данные'!$F$2:$F$606,"37")</f>
        <v>0</v>
      </c>
      <c r="BY29" s="11">
        <f>SUMIFS('[1]Исходные данные'!$J$2:$J$606,'[1]Исходные данные'!$D$2:$D$606,"ЦИТС.",'[1]Исходные данные'!$F$2:$F$606,"37")</f>
        <v>0</v>
      </c>
      <c r="BZ29" s="11">
        <f>SUMIFS('[1]Исходные данные'!$I$2:$I$606,'[1]Исходные данные'!$D$2:$D$606,"ОБО",'[1]Исходные данные'!$F$2:$F$606,"37")</f>
        <v>0</v>
      </c>
      <c r="CA29" s="11">
        <f>SUMIFS('[1]Исходные данные'!$J$2:$J$606,'[1]Исходные данные'!$D$2:$D$606,"ОБО",'[1]Исходные данные'!$F$2:$F$606,"37")</f>
        <v>0</v>
      </c>
      <c r="CB29" s="11">
        <f>SUMIFS('[1]Исходные данные'!$I$2:$I$606,'[1]Исходные данные'!$D$2:$D$606,"УЖЭО",'[1]Исходные данные'!$F$2:$F$606,"37")</f>
        <v>0</v>
      </c>
      <c r="CC29" s="11">
        <f>SUMIFS('[1]Исходные данные'!$J$2:$J$606,'[1]Исходные данные'!$D$2:$D$606,"УЖЭО",'[1]Исходные данные'!$F$2:$F$606,"37")</f>
        <v>0</v>
      </c>
      <c r="CD29" s="11">
        <f>SUMIFS('[1]Исходные данные'!$I$2:$I$606,'[1]Исходные данные'!$D$2:$D$606,"Мухтар/Хамит",'[1]Исходные данные'!$F$2:$F$606,"37")</f>
        <v>0</v>
      </c>
      <c r="CE29" s="11">
        <f>SUMIFS('[1]Исходные данные'!$J$2:$J$606,'[1]Исходные данные'!$D$2:$D$606,"Мухтар/Хамит",'[1]Исходные данные'!$F$2:$F$606,"37")</f>
        <v>0</v>
      </c>
      <c r="CF29" s="11">
        <f>SUMIFS('[1]Исходные данные'!$I$2:$I$606,'[1]Исходные данные'!$D$2:$D$606,"ОБО-    СБ",'[1]Исходные данные'!$F$2:$F$606,"37")</f>
        <v>0</v>
      </c>
      <c r="CG29" s="11">
        <f>SUMIFS('[1]Исходные данные'!$J$2:$J$606,'[1]Исходные данные'!$D$2:$D$606,"ОБО-    СБ",'[1]Исходные данные'!$F$2:$F$606,"37")</f>
        <v>0</v>
      </c>
      <c r="CH29" s="11">
        <f>SUMIFS('[1]Исходные данные'!$I$2:$I$606,'[1]Исходные данные'!$D$2:$D$606,"РМУ 2",'[1]Исходные данные'!$F$2:$F$606,"37")</f>
        <v>0</v>
      </c>
      <c r="CI29" s="11">
        <f>SUMIFS('[1]Исходные данные'!$J$2:$J$606,'[1]Исходные данные'!$D$2:$D$606,"РМУ 2",'[1]Исходные данные'!$F$2:$F$606,"37")</f>
        <v>0</v>
      </c>
      <c r="CJ29" s="11">
        <f>SUMIFS('[1]Исходные данные'!$I$2:$I$606,'[1]Исходные данные'!$D$2:$D$606,"ГАПиИТ",'[1]Исходные данные'!$F$2:$F$606,"37")</f>
        <v>0</v>
      </c>
      <c r="CK29" s="11">
        <f>SUMIFS('[1]Исходные данные'!$J$2:$J$606,'[1]Исходные данные'!$D$2:$D$606,"ГАПиИТ",'[1]Исходные данные'!$F$2:$F$606,"37")</f>
        <v>0</v>
      </c>
      <c r="CL29" s="11">
        <f>SUMIFS('[1]Исходные данные'!$I$2:$I$606,'[1]Исходные данные'!$D$2:$D$606,"ОМ",'[1]Исходные данные'!$F$2:$F$606,"37")</f>
        <v>0</v>
      </c>
      <c r="CM29" s="11">
        <f>SUMIFS('[1]Исходные данные'!$J$2:$J$606,'[1]Исходные данные'!$D$2:$D$606,"ОМ",'[1]Исходные данные'!$F$2:$F$606,"37")</f>
        <v>0</v>
      </c>
      <c r="CN29" s="11">
        <f>SUMIFS('[1]Исходные данные'!$I$2:$I$606,'[1]Исходные данные'!$D$2:$D$606,"оппоIR",'[1]Исходные данные'!$F$2:$F$606,"37")</f>
        <v>0</v>
      </c>
      <c r="CO29" s="11">
        <f>SUMIFS('[1]Исходные данные'!$J$2:$J$606,'[1]Исходные данные'!$D$2:$D$606,"оппоIR",'[1]Исходные данные'!$F$2:$F$606,"37")</f>
        <v>0</v>
      </c>
      <c r="CP29" s="11">
        <f>SUMIFS('[1]Исходные данные'!$I$2:$I$606,'[1]Исходные данные'!$D$2:$D$606,"Маркшейдер",'[1]Исходные данные'!$F$2:$F$606,"37")</f>
        <v>0</v>
      </c>
      <c r="CQ29" s="11">
        <f>SUMIFS('[1]Исходные данные'!$J$2:$J$606,'[1]Исходные данные'!$D$2:$D$606,"Маркшейдер",'[1]Исходные данные'!$F$2:$F$606,"37")</f>
        <v>0</v>
      </c>
      <c r="CR29" s="11">
        <f>SUMIFS('[1]Исходные данные'!$I$2:$I$606,'[1]Исходные данные'!$D$2:$D$606,"ПСО",'[1]Исходные данные'!$F$2:$F$606,"37")</f>
        <v>0</v>
      </c>
      <c r="CS29" s="11">
        <f>SUMIFS('[1]Исходные данные'!$J$2:$J$606,'[1]Исходные данные'!$D$2:$D$606,"ПСО",'[1]Исходные данные'!$F$2:$F$606,"37")</f>
        <v>0</v>
      </c>
    </row>
    <row r="30" spans="1:97" x14ac:dyDescent="0.25">
      <c r="A30" s="13" t="s">
        <v>105</v>
      </c>
      <c r="B30" s="11" t="s">
        <v>106</v>
      </c>
      <c r="C30" s="10">
        <f t="shared" si="0"/>
        <v>3</v>
      </c>
      <c r="D30" s="10">
        <f t="shared" si="1"/>
        <v>0</v>
      </c>
      <c r="E30" s="10">
        <f t="shared" si="1"/>
        <v>3</v>
      </c>
      <c r="F30" s="11">
        <f>SUMIFS('[1]Исходные данные'!$I$2:$I$606,'[1]Исходные данные'!$D$2:$D$606,"ЦДН-1",'[1]Исходные данные'!$F$2:$F$606,"10")</f>
        <v>0</v>
      </c>
      <c r="G30" s="11">
        <f>SUMIFS('[1]Исходные данные'!$J$2:$J$606,'[1]Исходные данные'!$D$2:$D$606,"ЦДН-1",'[1]Исходные данные'!$F$2:$F$606,"10")</f>
        <v>0</v>
      </c>
      <c r="H30" s="11">
        <f>SUMIFS('[1]Исходные данные'!$I$2:$I$606,'[1]Исходные данные'!$D$2:$D$606,"ЦДН-2",'[1]Исходные данные'!$F$2:$F$606,"10")</f>
        <v>0</v>
      </c>
      <c r="I30" s="11">
        <f>SUMIFS('[1]Исходные данные'!$J$2:$J$606,'[1]Исходные данные'!$D$2:$D$606,"ЦДН-2",'[1]Исходные данные'!$F$2:$F$606,"10")</f>
        <v>0</v>
      </c>
      <c r="J30" s="11">
        <f>SUMIFS('[1]Исходные данные'!$I$2:$I$606,'[1]Исходные данные'!$D$2:$D$606,"ЦДН-3",'[1]Исходные данные'!$F$2:$F$606,"10")</f>
        <v>0</v>
      </c>
      <c r="K30" s="11">
        <f>SUMIFS('[1]Исходные данные'!$J$2:$J$606,'[1]Исходные данные'!$D$2:$D$606,"ЦДН-3",'[1]Исходные данные'!$F$2:$F$606,"10")</f>
        <v>0</v>
      </c>
      <c r="L30" s="11">
        <f>SUMIFS('[1]Исходные данные'!$I$2:$I$606,'[1]Исходные данные'!$D$2:$D$606,"ЦППН",'[1]Исходные данные'!$F$2:$F$606,"10")</f>
        <v>0</v>
      </c>
      <c r="M30" s="11">
        <f>SUMIFS('[1]Исходные данные'!$J$2:$J$606,'[1]Исходные данные'!$D$2:$D$606,"ЦППН",'[1]Исходные данные'!$F$2:$F$606,"10")</f>
        <v>0</v>
      </c>
      <c r="N30" s="11">
        <f>SUMIFS('[1]Исходные данные'!$I$2:$I$606,'[1]Исходные данные'!$D$2:$D$606,"ЦППД",'[1]Исходные данные'!$F$2:$F$606,"10")</f>
        <v>0</v>
      </c>
      <c r="O30" s="11">
        <f>SUMIFS('[1]Исходные данные'!$J$2:$J$606,'[1]Исходные данные'!$D$2:$D$606,"ЦППД",'[1]Исходные данные'!$F$2:$F$606,"10")</f>
        <v>0</v>
      </c>
      <c r="P30" s="11">
        <f>SUMIFS('[1]Исходные данные'!$I$2:$I$606,'[1]Исходные данные'!$D$2:$D$606,"ЭЦ",'[1]Исходные данные'!$F$2:$F$606,"10")</f>
        <v>0</v>
      </c>
      <c r="Q30" s="11">
        <f>SUMIFS('[1]Исходные данные'!$J$2:$J$606,'[1]Исходные данные'!$D$2:$D$606,"ЭЦ",'[1]Исходные данные'!$F$2:$F$606,"10")</f>
        <v>0</v>
      </c>
      <c r="R30" s="11">
        <f>SUMIFS('[1]Исходные данные'!$I$2:$I$606,'[1]Исходные данные'!$D$2:$D$606,"ОКС",'[1]Исходные данные'!$F$2:$F$606,"10")</f>
        <v>0</v>
      </c>
      <c r="S30" s="11">
        <f>SUMIFS('[1]Исходные данные'!$J$2:$J$606,'[1]Исходные данные'!$D$2:$D$606,"ОКС",'[1]Исходные данные'!$F$2:$F$606,"10")</f>
        <v>0</v>
      </c>
      <c r="T30" s="11">
        <f>SUMIFS('[1]Исходные данные'!$I$2:$I$606,'[1]Исходные данные'!$D$2:$D$606,"РСЦ",'[1]Исходные данные'!$F$2:$F$606,"10")</f>
        <v>0</v>
      </c>
      <c r="U30" s="11">
        <f>SUMIFS('[1]Исходные данные'!$J$2:$J$606,'[1]Исходные данные'!$D$2:$D$606,"РСЦ",'[1]Исходные данные'!$F$2:$F$606,"10")</f>
        <v>0</v>
      </c>
      <c r="V30" s="11">
        <f>SUMIFS('[1]Исходные данные'!$I$2:$I$606,'[1]Исходные данные'!$D$2:$D$606,"ЦИТС",'[1]Исходные данные'!$F$2:$F$606,"10")</f>
        <v>0</v>
      </c>
      <c r="W30" s="11">
        <f>SUMIFS('[1]Исходные данные'!$J$2:$J$606,'[1]Исходные данные'!$D$2:$D$606,"ЦИТС",'[1]Исходные данные'!$F$2:$F$606,"10")</f>
        <v>0</v>
      </c>
      <c r="X30" s="11">
        <f>SUMIFS('[1]Исходные данные'!$I$2:$I$606,'[1]Исходные данные'!$D$2:$D$606,"ПРЦЭО",'[1]Исходные данные'!$F$2:$F$606,"10")</f>
        <v>0</v>
      </c>
      <c r="Y30" s="11">
        <f>SUMIFS('[1]Исходные данные'!$J$2:$J$606,'[1]Исходные данные'!$D$2:$D$606,"ПРЦЭО",'[1]Исходные данные'!$F$2:$F$606,"10")</f>
        <v>0</v>
      </c>
      <c r="Z30" s="11">
        <f>SUMIFS('[1]Исходные данные'!$I$2:$I$606,'[1]Исходные данные'!$D$2:$D$606,"ГЦ",'[1]Исходные данные'!$F$2:$F$606,"10")</f>
        <v>0</v>
      </c>
      <c r="AA30" s="11">
        <f>SUMIFS('[1]Исходные данные'!$J$2:$J$606,'[1]Исходные данные'!$D$2:$D$606,"ГЦ",'[1]Исходные данные'!$F$2:$F$606,"10")</f>
        <v>0</v>
      </c>
      <c r="AB30" s="11">
        <f>SUMIFS('[1]Исходные данные'!$I$2:$I$606,'[1]Исходные данные'!$D$2:$D$606,"ЦПП",'[1]Исходные данные'!$F$2:$F$606,"10")</f>
        <v>0</v>
      </c>
      <c r="AC30" s="11">
        <f>SUMIFS('[1]Исходные данные'!$J$2:$J$606,'[1]Исходные данные'!$D$2:$D$606,"ЦПП",'[1]Исходные данные'!$F$2:$F$606,"10")</f>
        <v>0</v>
      </c>
      <c r="AD30" s="11">
        <f>SUMIFS('[1]Исходные данные'!$I$2:$I$606,'[1]Исходные данные'!$D$2:$D$606,"БМТС",'[1]Исходные данные'!$F$2:$F$606,"10")</f>
        <v>0</v>
      </c>
      <c r="AE30" s="11">
        <f>SUMIFS('[1]Исходные данные'!$J$2:$J$606,'[1]Исходные данные'!$D$2:$D$606,"БМТС",'[1]Исходные данные'!$F$2:$F$606,"10")</f>
        <v>0</v>
      </c>
      <c r="AF30" s="11">
        <f>SUMIFS('[1]Исходные данные'!$I$2:$I$606,'[1]Исходные данные'!$D$2:$D$606,"УБиПКРС-1",'[1]Исходные данные'!$F$2:$F$606,"10")</f>
        <v>0</v>
      </c>
      <c r="AG30" s="11">
        <f>SUMIFS('[1]Исходные данные'!$J$2:$J$606,'[1]Исходные данные'!$D$2:$D$606,"УБиПКРС-1",'[1]Исходные данные'!$F$2:$F$606,"10")</f>
        <v>0</v>
      </c>
      <c r="AH30" s="11">
        <f>SUMIFS('[1]Исходные данные'!$I$2:$I$606,'[1]Исходные данные'!$D$2:$D$606,"УБиПКРС-2",'[1]Исходные данные'!$F$2:$F$606,"10")</f>
        <v>0</v>
      </c>
      <c r="AI30" s="11">
        <f>SUMIFS('[1]Исходные данные'!$J$2:$J$606,'[1]Исходные данные'!$D$2:$D$606,"УБиПКРС-2",'[1]Исходные данные'!$F$2:$F$606,"10")</f>
        <v>0</v>
      </c>
      <c r="AJ30" s="11">
        <f>SUMIFS('[1]Исходные данные'!$I$2:$I$606,'[1]Исходные данные'!$D$2:$D$606,"ДТТ-1",'[1]Исходные данные'!$F$2:$F$606,"10")</f>
        <v>0</v>
      </c>
      <c r="AK30" s="11">
        <f>SUMIFS('[1]Исходные данные'!$J$2:$J$606,'[1]Исходные данные'!$D$2:$D$606,"ДТТ-1",'[1]Исходные данные'!$F$2:$F$606,"10")</f>
        <v>0</v>
      </c>
      <c r="AL30" s="11">
        <f>SUMIFS('[1]Исходные данные'!$I$2:$I$606,'[1]Исходные данные'!$D$2:$D$606,"ЦНИПР",'[1]Исходные данные'!$F$2:$F$606,"10")</f>
        <v>0</v>
      </c>
      <c r="AM30" s="11">
        <f>SUMIFS('[1]Исходные данные'!$J$2:$J$606,'[1]Исходные данные'!$D$2:$D$606,"ЦНИПР",'[1]Исходные данные'!$F$2:$F$606,"10")</f>
        <v>0</v>
      </c>
      <c r="AN30" s="11">
        <f>SUMIFS('[1]Исходные данные'!$I$2:$I$606,'[1]Исходные данные'!$D$2:$D$606,"ОБиПКРС",'[1]Исходные данные'!$F$2:$F$606,"10")</f>
        <v>0</v>
      </c>
      <c r="AO30" s="11">
        <f>SUMIFS('[1]Исходные данные'!$J$2:$J$606,'[1]Исходные данные'!$D$2:$D$606,"ОБиПКРС",'[1]Исходные данные'!$F$2:$F$606,"10")</f>
        <v>0</v>
      </c>
      <c r="AP30" s="11">
        <f>SUMIFS('[1]Исходные данные'!$I$2:$I$606,'[1]Исходные данные'!$D$2:$D$606,"ЦАП",'[1]Исходные данные'!$F$2:$F$606,"10")</f>
        <v>0</v>
      </c>
      <c r="AQ30" s="11">
        <f>SUMIFS('[1]Исходные данные'!$J$2:$J$606,'[1]Исходные данные'!$D$2:$D$606,"ЦАП",'[1]Исходные данные'!$F$2:$F$606,"10")</f>
        <v>0</v>
      </c>
      <c r="AR30" s="11">
        <f>SUMIFS('[1]Исходные данные'!$I$2:$I$606,'[1]Исходные данные'!$D$2:$D$606,"ГООС",'[1]Исходные данные'!$F$2:$F$606,"10")</f>
        <v>0</v>
      </c>
      <c r="AS30" s="11">
        <f>SUMIFS('[1]Исходные данные'!$J$2:$J$606,'[1]Исходные данные'!$D$2:$D$606,"ГООС",'[1]Исходные данные'!$F$2:$F$606,"10")</f>
        <v>0</v>
      </c>
      <c r="AT30" s="11">
        <f>SUMIFS('[1]Исходные данные'!$I$2:$I$606,'[1]Исходные данные'!$D$2:$D$606,"Ақкетік",'[1]Исходные данные'!$F$2:$F$606,"10")</f>
        <v>0</v>
      </c>
      <c r="AU30" s="11">
        <f>SUMIFS('[1]Исходные данные'!$J$2:$J$606,'[1]Исходные данные'!$D$2:$D$606,"Ақкетік",'[1]Исходные данные'!$F$2:$F$606,"10")</f>
        <v>0</v>
      </c>
      <c r="AV30" s="11">
        <f>SUMIFS('[1]Исходные данные'!$I$2:$I$606,'[1]Исходные данные'!$D$2:$D$606,"Нейрон",'[1]Исходные данные'!$F$2:$F$606,"10")</f>
        <v>0</v>
      </c>
      <c r="AW30" s="11">
        <f>SUMIFS('[1]Исходные данные'!$J$2:$J$606,'[1]Исходные данные'!$D$2:$D$606,"Нейрон",'[1]Исходные данные'!$F$2:$F$606,"10")</f>
        <v>0</v>
      </c>
      <c r="AX30" s="11">
        <f>SUMIFS('[1]Исходные данные'!$I$2:$I$606,'[1]Исходные данные'!$D$2:$D$606,"Бурение",'[1]Исходные данные'!$F$2:$F$606,"10")</f>
        <v>0</v>
      </c>
      <c r="AY30" s="11">
        <f>SUMIFS('[1]Исходные данные'!$J$2:$J$606,'[1]Исходные данные'!$D$2:$D$606,"Бурение",'[1]Исходные данные'!$F$2:$F$606,"10")</f>
        <v>0</v>
      </c>
      <c r="AZ30" s="11">
        <f>SUMIFS('[1]Исходные данные'!$I$2:$I$606,'[1]Исходные данные'!$D$2:$D$606,"ЦТВС",'[1]Исходные данные'!$F$2:$F$606,"10")</f>
        <v>0</v>
      </c>
      <c r="BA30" s="11">
        <f>SUMIFS('[1]Исходные данные'!$J$2:$J$606,'[1]Исходные данные'!$D$2:$D$606,"ЦТВС",'[1]Исходные данные'!$F$2:$F$606,"10")</f>
        <v>0</v>
      </c>
      <c r="BB30" s="11">
        <f>SUMIFS('[1]Исходные данные'!$I$2:$I$606,'[1]Исходные данные'!$D$2:$D$606,"ТБ",'[1]Исходные данные'!$F$2:$F$606,"10")</f>
        <v>0</v>
      </c>
      <c r="BC30" s="11">
        <f>SUMIFS('[1]Исходные данные'!$J$2:$J$606,'[1]Исходные данные'!$D$2:$D$606,"ТБ",'[1]Исходные данные'!$F$2:$F$606,"10")</f>
        <v>0</v>
      </c>
      <c r="BD30" s="11">
        <f>SUMIFS('[1]Исходные данные'!$I$2:$I$606,'[1]Исходные данные'!$D$2:$D$606,"ОТДН",'[1]Исходные данные'!$F$2:$F$606,"10")</f>
        <v>0</v>
      </c>
      <c r="BE30" s="11">
        <f>SUMIFS('[1]Исходные данные'!$J$2:$J$606,'[1]Исходные данные'!$D$2:$D$606,"ОТДН",'[1]Исходные данные'!$F$2:$F$606,"10")</f>
        <v>0</v>
      </c>
      <c r="BF30" s="11">
        <f>SUMIFS('[1]Исходные данные'!$I$2:$I$606,'[1]Исходные данные'!$D$2:$D$606,"ПЧ-Семсер",'[1]Исходные данные'!$F$2:$F$606,"10")</f>
        <v>0</v>
      </c>
      <c r="BG30" s="11">
        <f>SUMIFS('[1]Исходные данные'!$J$2:$J$606,'[1]Исходные данные'!$D$2:$D$606,"ПЧ-Семсер",'[1]Исходные данные'!$F$2:$F$606,"10")</f>
        <v>3</v>
      </c>
      <c r="BH30" s="11">
        <f>SUMIFS('[1]Исходные данные'!$I$2:$I$606,'[1]Исходные данные'!$D$2:$D$606,"ПРЦЭО(2)",'[1]Исходные данные'!$F$2:$F$606,"10")</f>
        <v>0</v>
      </c>
      <c r="BI30" s="11">
        <f>SUMIFS('[1]Исходные данные'!$J$2:$J$606,'[1]Исходные данные'!$D$2:$D$606,"ПРЦЭО(2)",'[1]Исходные данные'!$F$2:$F$606,"10")</f>
        <v>0</v>
      </c>
      <c r="BJ30" s="11">
        <f>SUMIFS('[1]Исходные данные'!$I$2:$I$606,'[1]Исходные данные'!$D$2:$D$606,"БД",'[1]Исходные данные'!$F$2:$F$606,"10")</f>
        <v>0</v>
      </c>
      <c r="BK30" s="11">
        <f>SUMIFS('[1]Исходные данные'!$J$2:$J$606,'[1]Исходные данные'!$D$2:$D$606,"БД",'[1]Исходные данные'!$F$2:$F$606,"10")</f>
        <v>0</v>
      </c>
      <c r="BL30" s="11">
        <f>SUMIFS('[1]Исходные данные'!$I$2:$I$606,'[1]Исходные данные'!$D$2:$D$606,"ОГиР",'[1]Исходные данные'!$F$2:$F$606,"10")</f>
        <v>0</v>
      </c>
      <c r="BM30" s="11">
        <f>SUMIFS('[1]Исходные данные'!$J$2:$J$606,'[1]Исходные данные'!$D$2:$D$606,"ОГиР",'[1]Исходные данные'!$F$2:$F$606,"10")</f>
        <v>0</v>
      </c>
      <c r="BN30" s="11">
        <f>SUMIFS('[1]Исходные данные'!$I$2:$I$606,'[1]Исходные данные'!$D$2:$D$606,"ГСРиВК",'[1]Исходные данные'!$F$2:$F$606,"10")</f>
        <v>0</v>
      </c>
      <c r="BO30" s="11">
        <f>SUMIFS('[1]Исходные данные'!$J$2:$J$606,'[1]Исходные данные'!$D$2:$D$606,"ГСРиВК",'[1]Исходные данные'!$F$2:$F$606,"10")</f>
        <v>0</v>
      </c>
      <c r="BP30" s="11">
        <f>SUMIFS('[1]Исходные данные'!$I$2:$I$606,'[1]Исходные данные'!$D$2:$D$606,"МПГУ",'[1]Исходные данные'!$F$2:$F$606,"10")</f>
        <v>0</v>
      </c>
      <c r="BQ30" s="11">
        <f>SUMIFS('[1]Исходные данные'!$J$2:$J$606,'[1]Исходные данные'!$D$2:$D$606,"МПГУ",'[1]Исходные данные'!$F$2:$F$606,"10")</f>
        <v>0</v>
      </c>
      <c r="BR30" s="11">
        <f>SUMIFS('[1]Исходные данные'!$I$2:$I$606,'[1]Исходные данные'!$D$2:$D$606,"БПО 2",'[1]Исходные данные'!$F$2:$F$606,"10")</f>
        <v>0</v>
      </c>
      <c r="BS30" s="11">
        <f>SUMIFS('[1]Исходные данные'!$J$2:$J$606,'[1]Исходные данные'!$D$2:$D$606,"БПО 2",'[1]Исходные данные'!$F$2:$F$606,"10")</f>
        <v>0</v>
      </c>
      <c r="BT30" s="11">
        <f>SUMIFS('[1]Исходные данные'!$I$2:$I$606,'[1]Исходные данные'!$D$2:$D$606,"ЛД",'[1]Исходные данные'!$F$2:$F$606,"10")</f>
        <v>0</v>
      </c>
      <c r="BU30" s="11">
        <f>SUMIFS('[1]Исходные данные'!$J$2:$J$606,'[1]Исходные данные'!$D$2:$D$606,"ЛД",'[1]Исходные данные'!$F$2:$F$606,"10")</f>
        <v>0</v>
      </c>
      <c r="BV30" s="11">
        <f>SUMIFS('[1]Исходные данные'!$I$2:$I$606,'[1]Исходные данные'!$D$2:$D$606,"Отделкадр",'[1]Исходные данные'!$F$2:$F$606,"10")</f>
        <v>0</v>
      </c>
      <c r="BW30" s="11">
        <f>SUMIFS('[1]Исходные данные'!$J$2:$J$606,'[1]Исходные данные'!$D$2:$D$606,"Отделкадр",'[1]Исходные данные'!$F$2:$F$606,"10")</f>
        <v>0</v>
      </c>
      <c r="BX30" s="11">
        <f>SUMIFS('[1]Исходные данные'!$I$2:$I$606,'[1]Исходные данные'!$D$2:$D$606,"ЦИТС.",'[1]Исходные данные'!$F$2:$F$606,"10")</f>
        <v>0</v>
      </c>
      <c r="BY30" s="11">
        <f>SUMIFS('[1]Исходные данные'!$J$2:$J$606,'[1]Исходные данные'!$D$2:$D$606,"ЦИТС.",'[1]Исходные данные'!$F$2:$F$606,"10")</f>
        <v>0</v>
      </c>
      <c r="BZ30" s="11">
        <f>SUMIFS('[1]Исходные данные'!$I$2:$I$606,'[1]Исходные данные'!$D$2:$D$606,"ОБО",'[1]Исходные данные'!$F$2:$F$606,"10")</f>
        <v>0</v>
      </c>
      <c r="CA30" s="11">
        <f>SUMIFS('[1]Исходные данные'!$J$2:$J$606,'[1]Исходные данные'!$D$2:$D$606,"ОБО",'[1]Исходные данные'!$F$2:$F$606,"10")</f>
        <v>0</v>
      </c>
      <c r="CB30" s="11">
        <f>SUMIFS('[1]Исходные данные'!$I$2:$I$606,'[1]Исходные данные'!$D$2:$D$606,"УЖЭО",'[1]Исходные данные'!$F$2:$F$606,"10")</f>
        <v>0</v>
      </c>
      <c r="CC30" s="11">
        <f>SUMIFS('[1]Исходные данные'!$J$2:$J$606,'[1]Исходные данные'!$D$2:$D$606,"УЖЭО",'[1]Исходные данные'!$F$2:$F$606,"10")</f>
        <v>0</v>
      </c>
      <c r="CD30" s="11">
        <f>SUMIFS('[1]Исходные данные'!$I$2:$I$606,'[1]Исходные данные'!$D$2:$D$606,"Мухтар/Хамит",'[1]Исходные данные'!$F$2:$F$606,"10")</f>
        <v>0</v>
      </c>
      <c r="CE30" s="11">
        <f>SUMIFS('[1]Исходные данные'!$J$2:$J$606,'[1]Исходные данные'!$D$2:$D$606,"Мухтар/Хамит",'[1]Исходные данные'!$F$2:$F$606,"10")</f>
        <v>0</v>
      </c>
      <c r="CF30" s="11">
        <f>SUMIFS('[1]Исходные данные'!$I$2:$I$606,'[1]Исходные данные'!$D$2:$D$606,"ОБО-    СБ",'[1]Исходные данные'!$F$2:$F$606,"10")</f>
        <v>0</v>
      </c>
      <c r="CG30" s="11">
        <f>SUMIFS('[1]Исходные данные'!$J$2:$J$606,'[1]Исходные данные'!$D$2:$D$606,"ОБО-    СБ",'[1]Исходные данные'!$F$2:$F$606,"10")</f>
        <v>0</v>
      </c>
      <c r="CH30" s="11">
        <f>SUMIFS('[1]Исходные данные'!$I$2:$I$606,'[1]Исходные данные'!$D$2:$D$606,"РМУ 2",'[1]Исходные данные'!$F$2:$F$606,"10")</f>
        <v>0</v>
      </c>
      <c r="CI30" s="11">
        <f>SUMIFS('[1]Исходные данные'!$J$2:$J$606,'[1]Исходные данные'!$D$2:$D$606,"РМУ 2",'[1]Исходные данные'!$F$2:$F$606,"10")</f>
        <v>0</v>
      </c>
      <c r="CJ30" s="11">
        <f>SUMIFS('[1]Исходные данные'!$I$2:$I$606,'[1]Исходные данные'!$D$2:$D$606,"ГАПиИТ",'[1]Исходные данные'!$F$2:$F$606,"10")</f>
        <v>0</v>
      </c>
      <c r="CK30" s="11">
        <f>SUMIFS('[1]Исходные данные'!$J$2:$J$606,'[1]Исходные данные'!$D$2:$D$606,"ГАПиИТ",'[1]Исходные данные'!$F$2:$F$606,"10")</f>
        <v>0</v>
      </c>
      <c r="CL30" s="11">
        <f>SUMIFS('[1]Исходные данные'!$I$2:$I$606,'[1]Исходные данные'!$D$2:$D$606,"ОМ",'[1]Исходные данные'!$F$2:$F$606,"10")</f>
        <v>0</v>
      </c>
      <c r="CM30" s="11">
        <f>SUMIFS('[1]Исходные данные'!$J$2:$J$606,'[1]Исходные данные'!$D$2:$D$606,"ОМ",'[1]Исходные данные'!$F$2:$F$606,"10")</f>
        <v>0</v>
      </c>
      <c r="CN30" s="11">
        <f>SUMIFS('[1]Исходные данные'!$I$2:$I$606,'[1]Исходные данные'!$D$2:$D$606,"оппоIR",'[1]Исходные данные'!$F$2:$F$606,"10")</f>
        <v>0</v>
      </c>
      <c r="CO30" s="11">
        <f>SUMIFS('[1]Исходные данные'!$J$2:$J$606,'[1]Исходные данные'!$D$2:$D$606,"оппоIR",'[1]Исходные данные'!$F$2:$F$606,"10")</f>
        <v>0</v>
      </c>
      <c r="CP30" s="11">
        <f>SUMIFS('[1]Исходные данные'!$I$2:$I$606,'[1]Исходные данные'!$D$2:$D$606,"Маркшейдер",'[1]Исходные данные'!$F$2:$F$606,"10")</f>
        <v>0</v>
      </c>
      <c r="CQ30" s="11">
        <f>SUMIFS('[1]Исходные данные'!$J$2:$J$606,'[1]Исходные данные'!$D$2:$D$606,"Маркшейдер",'[1]Исходные данные'!$F$2:$F$606,"10")</f>
        <v>0</v>
      </c>
      <c r="CR30" s="11">
        <f>SUMIFS('[1]Исходные данные'!$I$2:$I$606,'[1]Исходные данные'!$D$2:$D$606,"ПСО",'[1]Исходные данные'!$F$2:$F$606,"10")</f>
        <v>0</v>
      </c>
      <c r="CS30" s="11">
        <f>SUMIFS('[1]Исходные данные'!$J$2:$J$606,'[1]Исходные данные'!$D$2:$D$606,"ПСО",'[1]Исходные данные'!$F$2:$F$606,"10")</f>
        <v>0</v>
      </c>
    </row>
    <row r="31" spans="1:97" x14ac:dyDescent="0.25">
      <c r="A31" s="13" t="s">
        <v>107</v>
      </c>
      <c r="B31" s="11" t="s">
        <v>108</v>
      </c>
      <c r="C31" s="10">
        <f t="shared" si="0"/>
        <v>3</v>
      </c>
      <c r="D31" s="10">
        <f t="shared" si="1"/>
        <v>3</v>
      </c>
      <c r="E31" s="10">
        <f t="shared" si="1"/>
        <v>0</v>
      </c>
      <c r="F31" s="11">
        <f>SUMIFS('[1]Исходные данные'!$I$2:$I$606,'[1]Исходные данные'!$D$2:$D$606,"ЦДН-1",'[1]Исходные данные'!$F$2:$F$606,"46")</f>
        <v>0</v>
      </c>
      <c r="G31" s="11">
        <f>SUMIFS('[1]Исходные данные'!$J$2:$J$606,'[1]Исходные данные'!$D$2:$D$606,"ЦДН-1",'[1]Исходные данные'!$F$2:$F$606,"46")</f>
        <v>0</v>
      </c>
      <c r="H31" s="11">
        <f>SUMIFS('[1]Исходные данные'!$I$2:$I$606,'[1]Исходные данные'!$D$2:$D$606,"ЦДН-2",'[1]Исходные данные'!$F$2:$F$606,"46")</f>
        <v>0</v>
      </c>
      <c r="I31" s="11">
        <f>SUMIFS('[1]Исходные данные'!$J$2:$J$606,'[1]Исходные данные'!$D$2:$D$606,"ЦДН-2",'[1]Исходные данные'!$F$2:$F$606,"46")</f>
        <v>0</v>
      </c>
      <c r="J31" s="11">
        <f>SUMIFS('[1]Исходные данные'!$I$2:$I$606,'[1]Исходные данные'!$D$2:$D$606,"ЦДН-3",'[1]Исходные данные'!$F$2:$F$606,"46")</f>
        <v>0</v>
      </c>
      <c r="K31" s="11">
        <f>SUMIFS('[1]Исходные данные'!$J$2:$J$606,'[1]Исходные данные'!$D$2:$D$606,"ЦДН-3",'[1]Исходные данные'!$F$2:$F$606,"46")</f>
        <v>0</v>
      </c>
      <c r="L31" s="11">
        <f>SUMIFS('[1]Исходные данные'!$I$2:$I$606,'[1]Исходные данные'!$D$2:$D$606,"ЦППН",'[1]Исходные данные'!$F$2:$F$606,"46")</f>
        <v>0</v>
      </c>
      <c r="M31" s="11">
        <f>SUMIFS('[1]Исходные данные'!$J$2:$J$606,'[1]Исходные данные'!$D$2:$D$606,"ЦППН",'[1]Исходные данные'!$F$2:$F$606,"46")</f>
        <v>0</v>
      </c>
      <c r="N31" s="11">
        <f>SUMIFS('[1]Исходные данные'!$I$2:$I$606,'[1]Исходные данные'!$D$2:$D$606,"ЦППД",'[1]Исходные данные'!$F$2:$F$606,"46")</f>
        <v>0</v>
      </c>
      <c r="O31" s="11">
        <f>SUMIFS('[1]Исходные данные'!$J$2:$J$606,'[1]Исходные данные'!$D$2:$D$606,"ЦППД",'[1]Исходные данные'!$F$2:$F$606,"46")</f>
        <v>0</v>
      </c>
      <c r="P31" s="11">
        <f>SUMIFS('[1]Исходные данные'!$I$2:$I$606,'[1]Исходные данные'!$D$2:$D$606,"ЭЦ",'[1]Исходные данные'!$F$2:$F$606,"46")</f>
        <v>0</v>
      </c>
      <c r="Q31" s="11">
        <f>SUMIFS('[1]Исходные данные'!$J$2:$J$606,'[1]Исходные данные'!$D$2:$D$606,"ЭЦ",'[1]Исходные данные'!$F$2:$F$606,"46")</f>
        <v>0</v>
      </c>
      <c r="R31" s="11">
        <f>SUMIFS('[1]Исходные данные'!$I$2:$I$606,'[1]Исходные данные'!$D$2:$D$606,"ОКС",'[1]Исходные данные'!$F$2:$F$606,"46")</f>
        <v>2</v>
      </c>
      <c r="S31" s="11">
        <f>SUMIFS('[1]Исходные данные'!$J$2:$J$606,'[1]Исходные данные'!$D$2:$D$606,"ОКС",'[1]Исходные данные'!$F$2:$F$606,"46")</f>
        <v>0</v>
      </c>
      <c r="T31" s="11">
        <f>SUMIFS('[1]Исходные данные'!$I$2:$I$606,'[1]Исходные данные'!$D$2:$D$606,"РСЦ",'[1]Исходные данные'!$F$2:$F$606,"46")</f>
        <v>0</v>
      </c>
      <c r="U31" s="11">
        <f>SUMIFS('[1]Исходные данные'!$J$2:$J$606,'[1]Исходные данные'!$D$2:$D$606,"РСЦ",'[1]Исходные данные'!$F$2:$F$606,"46")</f>
        <v>0</v>
      </c>
      <c r="V31" s="11">
        <f>SUMIFS('[1]Исходные данные'!$I$2:$I$606,'[1]Исходные данные'!$D$2:$D$606,"ЦИТС",'[1]Исходные данные'!$F$2:$F$606,"46")</f>
        <v>0</v>
      </c>
      <c r="W31" s="11">
        <f>SUMIFS('[1]Исходные данные'!$J$2:$J$606,'[1]Исходные данные'!$D$2:$D$606,"ЦИТС",'[1]Исходные данные'!$F$2:$F$606,"46")</f>
        <v>0</v>
      </c>
      <c r="X31" s="11">
        <f>SUMIFS('[1]Исходные данные'!$I$2:$I$606,'[1]Исходные данные'!$D$2:$D$606,"ПРЦЭО",'[1]Исходные данные'!$F$2:$F$606,"46")</f>
        <v>0</v>
      </c>
      <c r="Y31" s="11">
        <f>SUMIFS('[1]Исходные данные'!$J$2:$J$606,'[1]Исходные данные'!$D$2:$D$606,"ПРЦЭО",'[1]Исходные данные'!$F$2:$F$606,"46")</f>
        <v>0</v>
      </c>
      <c r="Z31" s="11">
        <f>SUMIFS('[1]Исходные данные'!$I$2:$I$606,'[1]Исходные данные'!$D$2:$D$606,"ГЦ",'[1]Исходные данные'!$F$2:$F$606,"46")</f>
        <v>0</v>
      </c>
      <c r="AA31" s="11">
        <f>SUMIFS('[1]Исходные данные'!$J$2:$J$606,'[1]Исходные данные'!$D$2:$D$606,"ГЦ",'[1]Исходные данные'!$F$2:$F$606,"46")</f>
        <v>0</v>
      </c>
      <c r="AB31" s="11">
        <f>SUMIFS('[1]Исходные данные'!$I$2:$I$606,'[1]Исходные данные'!$D$2:$D$606,"ЦПП",'[1]Исходные данные'!$F$2:$F$606,"46")</f>
        <v>0</v>
      </c>
      <c r="AC31" s="11">
        <f>SUMIFS('[1]Исходные данные'!$J$2:$J$606,'[1]Исходные данные'!$D$2:$D$606,"ЦПП",'[1]Исходные данные'!$F$2:$F$606,"46")</f>
        <v>0</v>
      </c>
      <c r="AD31" s="11">
        <f>SUMIFS('[1]Исходные данные'!$I$2:$I$606,'[1]Исходные данные'!$D$2:$D$606,"БМТС",'[1]Исходные данные'!$F$2:$F$606,"46")</f>
        <v>0</v>
      </c>
      <c r="AE31" s="11">
        <f>SUMIFS('[1]Исходные данные'!$J$2:$J$606,'[1]Исходные данные'!$D$2:$D$606,"БМТС",'[1]Исходные данные'!$F$2:$F$606,"46")</f>
        <v>0</v>
      </c>
      <c r="AF31" s="11">
        <f>SUMIFS('[1]Исходные данные'!$I$2:$I$606,'[1]Исходные данные'!$D$2:$D$606,"УБиПКРС-1",'[1]Исходные данные'!$F$2:$F$606,"46")</f>
        <v>0</v>
      </c>
      <c r="AG31" s="11">
        <f>SUMIFS('[1]Исходные данные'!$J$2:$J$606,'[1]Исходные данные'!$D$2:$D$606,"УБиПКРС-1",'[1]Исходные данные'!$F$2:$F$606,"46")</f>
        <v>0</v>
      </c>
      <c r="AH31" s="11">
        <f>SUMIFS('[1]Исходные данные'!$I$2:$I$606,'[1]Исходные данные'!$D$2:$D$606,"УБиПКРС-2",'[1]Исходные данные'!$F$2:$F$606,"46")</f>
        <v>0</v>
      </c>
      <c r="AI31" s="11">
        <f>SUMIFS('[1]Исходные данные'!$J$2:$J$606,'[1]Исходные данные'!$D$2:$D$606,"УБиПКРС-2",'[1]Исходные данные'!$F$2:$F$606,"46")</f>
        <v>0</v>
      </c>
      <c r="AJ31" s="11">
        <f>SUMIFS('[1]Исходные данные'!$I$2:$I$606,'[1]Исходные данные'!$D$2:$D$606,"ДТТ-1",'[1]Исходные данные'!$F$2:$F$606,"46")</f>
        <v>0</v>
      </c>
      <c r="AK31" s="11">
        <f>SUMIFS('[1]Исходные данные'!$J$2:$J$606,'[1]Исходные данные'!$D$2:$D$606,"ДТТ-1",'[1]Исходные данные'!$F$2:$F$606,"46")</f>
        <v>0</v>
      </c>
      <c r="AL31" s="11">
        <f>SUMIFS('[1]Исходные данные'!$I$2:$I$606,'[1]Исходные данные'!$D$2:$D$606,"ЦНИПР",'[1]Исходные данные'!$F$2:$F$606,"46")</f>
        <v>0</v>
      </c>
      <c r="AM31" s="11">
        <f>SUMIFS('[1]Исходные данные'!$J$2:$J$606,'[1]Исходные данные'!$D$2:$D$606,"ЦНИПР",'[1]Исходные данные'!$F$2:$F$606,"46")</f>
        <v>0</v>
      </c>
      <c r="AN31" s="11">
        <f>SUMIFS('[1]Исходные данные'!$I$2:$I$606,'[1]Исходные данные'!$D$2:$D$606,"ОБиПКРС",'[1]Исходные данные'!$F$2:$F$606,"46")</f>
        <v>0</v>
      </c>
      <c r="AO31" s="11">
        <f>SUMIFS('[1]Исходные данные'!$J$2:$J$606,'[1]Исходные данные'!$D$2:$D$606,"ОБиПКРС",'[1]Исходные данные'!$F$2:$F$606,"46")</f>
        <v>0</v>
      </c>
      <c r="AP31" s="11">
        <f>SUMIFS('[1]Исходные данные'!$I$2:$I$606,'[1]Исходные данные'!$D$2:$D$606,"ЦАП",'[1]Исходные данные'!$F$2:$F$606,"46")</f>
        <v>0</v>
      </c>
      <c r="AQ31" s="11">
        <f>SUMIFS('[1]Исходные данные'!$J$2:$J$606,'[1]Исходные данные'!$D$2:$D$606,"ЦАП",'[1]Исходные данные'!$F$2:$F$606,"46")</f>
        <v>0</v>
      </c>
      <c r="AR31" s="11">
        <f>SUMIFS('[1]Исходные данные'!$I$2:$I$606,'[1]Исходные данные'!$D$2:$D$606,"ГООС",'[1]Исходные данные'!$F$2:$F$606,"46")</f>
        <v>1</v>
      </c>
      <c r="AS31" s="11">
        <f>SUMIFS('[1]Исходные данные'!$J$2:$J$606,'[1]Исходные данные'!$D$2:$D$606,"ГООС",'[1]Исходные данные'!$F$2:$F$606,"46")</f>
        <v>0</v>
      </c>
      <c r="AT31" s="11">
        <f>SUMIFS('[1]Исходные данные'!$I$2:$I$606,'[1]Исходные данные'!$D$2:$D$606,"Ақкетік",'[1]Исходные данные'!$F$2:$F$606,"46")</f>
        <v>0</v>
      </c>
      <c r="AU31" s="11">
        <f>SUMIFS('[1]Исходные данные'!$J$2:$J$606,'[1]Исходные данные'!$D$2:$D$606,"Ақкетік",'[1]Исходные данные'!$F$2:$F$606,"46")</f>
        <v>0</v>
      </c>
      <c r="AV31" s="11">
        <f>SUMIFS('[1]Исходные данные'!$I$2:$I$606,'[1]Исходные данные'!$D$2:$D$606,"Нейрон",'[1]Исходные данные'!$F$2:$F$606,"46")</f>
        <v>0</v>
      </c>
      <c r="AW31" s="11">
        <f>SUMIFS('[1]Исходные данные'!$J$2:$J$606,'[1]Исходные данные'!$D$2:$D$606,"Нейрон",'[1]Исходные данные'!$F$2:$F$606,"46")</f>
        <v>0</v>
      </c>
      <c r="AX31" s="11">
        <f>SUMIFS('[1]Исходные данные'!$I$2:$I$606,'[1]Исходные данные'!$D$2:$D$606,"Бурение",'[1]Исходные данные'!$F$2:$F$606,"46")</f>
        <v>0</v>
      </c>
      <c r="AY31" s="11">
        <f>SUMIFS('[1]Исходные данные'!$J$2:$J$606,'[1]Исходные данные'!$D$2:$D$606,"Бурение",'[1]Исходные данные'!$F$2:$F$606,"46")</f>
        <v>0</v>
      </c>
      <c r="AZ31" s="11">
        <f>SUMIFS('[1]Исходные данные'!$I$2:$I$606,'[1]Исходные данные'!$D$2:$D$606,"ЦТВС",'[1]Исходные данные'!$F$2:$F$606,"46")</f>
        <v>0</v>
      </c>
      <c r="BA31" s="11">
        <f>SUMIFS('[1]Исходные данные'!$J$2:$J$606,'[1]Исходные данные'!$D$2:$D$606,"ЦТВС",'[1]Исходные данные'!$F$2:$F$606,"46")</f>
        <v>0</v>
      </c>
      <c r="BB31" s="11">
        <f>SUMIFS('[1]Исходные данные'!$I$2:$I$606,'[1]Исходные данные'!$D$2:$D$606,"ТБ",'[1]Исходные данные'!$F$2:$F$606,"46")</f>
        <v>0</v>
      </c>
      <c r="BC31" s="11">
        <f>SUMIFS('[1]Исходные данные'!$J$2:$J$606,'[1]Исходные данные'!$D$2:$D$606,"ТБ",'[1]Исходные данные'!$F$2:$F$606,"46")</f>
        <v>0</v>
      </c>
      <c r="BD31" s="11">
        <f>SUMIFS('[1]Исходные данные'!$I$2:$I$606,'[1]Исходные данные'!$D$2:$D$606,"ОТДН",'[1]Исходные данные'!$F$2:$F$606,"46")</f>
        <v>0</v>
      </c>
      <c r="BE31" s="11">
        <f>SUMIFS('[1]Исходные данные'!$J$2:$J$606,'[1]Исходные данные'!$D$2:$D$606,"ОТДН",'[1]Исходные данные'!$F$2:$F$606,"46")</f>
        <v>0</v>
      </c>
      <c r="BF31" s="11">
        <f>SUMIFS('[1]Исходные данные'!$I$2:$I$606,'[1]Исходные данные'!$D$2:$D$606,"ПЧ-Семсер",'[1]Исходные данные'!$F$2:$F$606,"46")</f>
        <v>0</v>
      </c>
      <c r="BG31" s="11">
        <f>SUMIFS('[1]Исходные данные'!$J$2:$J$606,'[1]Исходные данные'!$D$2:$D$606,"ПЧ-Семсер",'[1]Исходные данные'!$F$2:$F$606,"46")</f>
        <v>0</v>
      </c>
      <c r="BH31" s="11">
        <f>SUMIFS('[1]Исходные данные'!$I$2:$I$606,'[1]Исходные данные'!$D$2:$D$606,"ПРЦЭО(2)",'[1]Исходные данные'!$F$2:$F$606,"46")</f>
        <v>0</v>
      </c>
      <c r="BI31" s="11">
        <f>SUMIFS('[1]Исходные данные'!$J$2:$J$606,'[1]Исходные данные'!$D$2:$D$606,"ПРЦЭО(2)",'[1]Исходные данные'!$F$2:$F$606,"46")</f>
        <v>0</v>
      </c>
      <c r="BJ31" s="11">
        <f>SUMIFS('[1]Исходные данные'!$I$2:$I$606,'[1]Исходные данные'!$D$2:$D$606,"БД",'[1]Исходные данные'!$F$2:$F$606,"46")</f>
        <v>0</v>
      </c>
      <c r="BK31" s="11">
        <f>SUMIFS('[1]Исходные данные'!$J$2:$J$606,'[1]Исходные данные'!$D$2:$D$606,"БД",'[1]Исходные данные'!$F$2:$F$606,"46")</f>
        <v>0</v>
      </c>
      <c r="BL31" s="11">
        <f>SUMIFS('[1]Исходные данные'!$I$2:$I$606,'[1]Исходные данные'!$D$2:$D$606,"ОГиР",'[1]Исходные данные'!$F$2:$F$606,"46")</f>
        <v>0</v>
      </c>
      <c r="BM31" s="11">
        <f>SUMIFS('[1]Исходные данные'!$J$2:$J$606,'[1]Исходные данные'!$D$2:$D$606,"ОГиР",'[1]Исходные данные'!$F$2:$F$606,"46")</f>
        <v>0</v>
      </c>
      <c r="BN31" s="11">
        <f>SUMIFS('[1]Исходные данные'!$I$2:$I$606,'[1]Исходные данные'!$D$2:$D$606,"ГСРиВК",'[1]Исходные данные'!$F$2:$F$606,"46")</f>
        <v>0</v>
      </c>
      <c r="BO31" s="11">
        <f>SUMIFS('[1]Исходные данные'!$J$2:$J$606,'[1]Исходные данные'!$D$2:$D$606,"ГСРиВК",'[1]Исходные данные'!$F$2:$F$606,"46")</f>
        <v>0</v>
      </c>
      <c r="BP31" s="11">
        <f>SUMIFS('[1]Исходные данные'!$I$2:$I$606,'[1]Исходные данные'!$D$2:$D$606,"МПГУ",'[1]Исходные данные'!$F$2:$F$606,"46")</f>
        <v>0</v>
      </c>
      <c r="BQ31" s="11">
        <f>SUMIFS('[1]Исходные данные'!$J$2:$J$606,'[1]Исходные данные'!$D$2:$D$606,"МПГУ",'[1]Исходные данные'!$F$2:$F$606,"46")</f>
        <v>0</v>
      </c>
      <c r="BR31" s="11">
        <f>SUMIFS('[1]Исходные данные'!$I$2:$I$606,'[1]Исходные данные'!$D$2:$D$606,"БПО 2",'[1]Исходные данные'!$F$2:$F$606,"46")</f>
        <v>0</v>
      </c>
      <c r="BS31" s="11">
        <f>SUMIFS('[1]Исходные данные'!$J$2:$J$606,'[1]Исходные данные'!$D$2:$D$606,"БПО 2",'[1]Исходные данные'!$F$2:$F$606,"46")</f>
        <v>0</v>
      </c>
      <c r="BT31" s="11">
        <f>SUMIFS('[1]Исходные данные'!$I$2:$I$606,'[1]Исходные данные'!$D$2:$D$606,"ЛД",'[1]Исходные данные'!$F$2:$F$606,"46")</f>
        <v>0</v>
      </c>
      <c r="BU31" s="11">
        <f>SUMIFS('[1]Исходные данные'!$J$2:$J$606,'[1]Исходные данные'!$D$2:$D$606,"ЛД",'[1]Исходные данные'!$F$2:$F$606,"46")</f>
        <v>0</v>
      </c>
      <c r="BV31" s="11">
        <f>SUMIFS('[1]Исходные данные'!$I$2:$I$606,'[1]Исходные данные'!$D$2:$D$606,"Отделкадр",'[1]Исходные данные'!$F$2:$F$606,"46")</f>
        <v>0</v>
      </c>
      <c r="BW31" s="11">
        <f>SUMIFS('[1]Исходные данные'!$J$2:$J$606,'[1]Исходные данные'!$D$2:$D$606,"Отделкадр",'[1]Исходные данные'!$F$2:$F$606,"46")</f>
        <v>0</v>
      </c>
      <c r="BX31" s="11">
        <f>SUMIFS('[1]Исходные данные'!$I$2:$I$606,'[1]Исходные данные'!$D$2:$D$606,"ЦИТС.",'[1]Исходные данные'!$F$2:$F$606,"46")</f>
        <v>0</v>
      </c>
      <c r="BY31" s="11">
        <f>SUMIFS('[1]Исходные данные'!$J$2:$J$606,'[1]Исходные данные'!$D$2:$D$606,"ЦИТС.",'[1]Исходные данные'!$F$2:$F$606,"46")</f>
        <v>0</v>
      </c>
      <c r="BZ31" s="11">
        <f>SUMIFS('[1]Исходные данные'!$I$2:$I$606,'[1]Исходные данные'!$D$2:$D$606,"ОБО",'[1]Исходные данные'!$F$2:$F$606,"46")</f>
        <v>0</v>
      </c>
      <c r="CA31" s="11">
        <f>SUMIFS('[1]Исходные данные'!$J$2:$J$606,'[1]Исходные данные'!$D$2:$D$606,"ОБО",'[1]Исходные данные'!$F$2:$F$606,"46")</f>
        <v>0</v>
      </c>
      <c r="CB31" s="11">
        <f>SUMIFS('[1]Исходные данные'!$I$2:$I$606,'[1]Исходные данные'!$D$2:$D$606,"УЖЭО",'[1]Исходные данные'!$F$2:$F$606,"46")</f>
        <v>0</v>
      </c>
      <c r="CC31" s="11">
        <f>SUMIFS('[1]Исходные данные'!$J$2:$J$606,'[1]Исходные данные'!$D$2:$D$606,"УЖЭО",'[1]Исходные данные'!$F$2:$F$606,"46")</f>
        <v>0</v>
      </c>
      <c r="CD31" s="11">
        <f>SUMIFS('[1]Исходные данные'!$I$2:$I$606,'[1]Исходные данные'!$D$2:$D$606,"Мухтар/Хамит",'[1]Исходные данные'!$F$2:$F$606,"46")</f>
        <v>0</v>
      </c>
      <c r="CE31" s="11">
        <f>SUMIFS('[1]Исходные данные'!$J$2:$J$606,'[1]Исходные данные'!$D$2:$D$606,"Мухтар/Хамит",'[1]Исходные данные'!$F$2:$F$606,"46")</f>
        <v>0</v>
      </c>
      <c r="CF31" s="11">
        <f>SUMIFS('[1]Исходные данные'!$I$2:$I$606,'[1]Исходные данные'!$D$2:$D$606,"ОБО-    СБ",'[1]Исходные данные'!$F$2:$F$606,"46")</f>
        <v>0</v>
      </c>
      <c r="CG31" s="11">
        <f>SUMIFS('[1]Исходные данные'!$J$2:$J$606,'[1]Исходные данные'!$D$2:$D$606,"ОБО-    СБ",'[1]Исходные данные'!$F$2:$F$606,"46")</f>
        <v>0</v>
      </c>
      <c r="CH31" s="11">
        <f>SUMIFS('[1]Исходные данные'!$I$2:$I$606,'[1]Исходные данные'!$D$2:$D$606,"РМУ 2",'[1]Исходные данные'!$F$2:$F$606,"46")</f>
        <v>0</v>
      </c>
      <c r="CI31" s="11">
        <f>SUMIFS('[1]Исходные данные'!$J$2:$J$606,'[1]Исходные данные'!$D$2:$D$606,"РМУ 2",'[1]Исходные данные'!$F$2:$F$606,"46")</f>
        <v>0</v>
      </c>
      <c r="CJ31" s="11">
        <f>SUMIFS('[1]Исходные данные'!$I$2:$I$606,'[1]Исходные данные'!$D$2:$D$606,"ГАПиИТ",'[1]Исходные данные'!$F$2:$F$606,"46")</f>
        <v>0</v>
      </c>
      <c r="CK31" s="11">
        <f>SUMIFS('[1]Исходные данные'!$J$2:$J$606,'[1]Исходные данные'!$D$2:$D$606,"ГАПиИТ",'[1]Исходные данные'!$F$2:$F$606,"46")</f>
        <v>0</v>
      </c>
      <c r="CL31" s="11">
        <f>SUMIFS('[1]Исходные данные'!$I$2:$I$606,'[1]Исходные данные'!$D$2:$D$606,"ОМ",'[1]Исходные данные'!$F$2:$F$606,"46")</f>
        <v>0</v>
      </c>
      <c r="CM31" s="11">
        <f>SUMIFS('[1]Исходные данные'!$J$2:$J$606,'[1]Исходные данные'!$D$2:$D$606,"ОМ",'[1]Исходные данные'!$F$2:$F$606,"46")</f>
        <v>0</v>
      </c>
      <c r="CN31" s="11">
        <f>SUMIFS('[1]Исходные данные'!$I$2:$I$606,'[1]Исходные данные'!$D$2:$D$606,"оппоIR",'[1]Исходные данные'!$F$2:$F$606,"46")</f>
        <v>0</v>
      </c>
      <c r="CO31" s="11">
        <f>SUMIFS('[1]Исходные данные'!$J$2:$J$606,'[1]Исходные данные'!$D$2:$D$606,"оппоIR",'[1]Исходные данные'!$F$2:$F$606,"46")</f>
        <v>0</v>
      </c>
      <c r="CP31" s="11">
        <f>SUMIFS('[1]Исходные данные'!$I$2:$I$606,'[1]Исходные данные'!$D$2:$D$606,"Маркшейдер",'[1]Исходные данные'!$F$2:$F$606,"46")</f>
        <v>0</v>
      </c>
      <c r="CQ31" s="11">
        <f>SUMIFS('[1]Исходные данные'!$J$2:$J$606,'[1]Исходные данные'!$D$2:$D$606,"Маркшейдер",'[1]Исходные данные'!$F$2:$F$606,"46")</f>
        <v>0</v>
      </c>
      <c r="CR31" s="11">
        <f>SUMIFS('[1]Исходные данные'!$I$2:$I$606,'[1]Исходные данные'!$D$2:$D$606,"ПСО",'[1]Исходные данные'!$F$2:$F$606,"46")</f>
        <v>0</v>
      </c>
      <c r="CS31" s="11">
        <f>SUMIFS('[1]Исходные данные'!$J$2:$J$606,'[1]Исходные данные'!$D$2:$D$606,"ПСО",'[1]Исходные данные'!$F$2:$F$606,"46")</f>
        <v>0</v>
      </c>
    </row>
    <row r="32" spans="1:97" x14ac:dyDescent="0.25">
      <c r="A32" s="13" t="s">
        <v>109</v>
      </c>
      <c r="B32" s="11" t="s">
        <v>110</v>
      </c>
      <c r="C32" s="10">
        <f t="shared" si="0"/>
        <v>3</v>
      </c>
      <c r="D32" s="10">
        <f t="shared" si="1"/>
        <v>2</v>
      </c>
      <c r="E32" s="10">
        <f t="shared" si="1"/>
        <v>1</v>
      </c>
      <c r="F32" s="11">
        <f>SUMIFS('[1]Исходные данные'!$I$2:$I$606,'[1]Исходные данные'!$D$2:$D$606,"ЦДН-1",'[1]Исходные данные'!$F$2:$F$606,"62")</f>
        <v>0</v>
      </c>
      <c r="G32" s="11">
        <f>SUMIFS('[1]Исходные данные'!$J$2:$J$606,'[1]Исходные данные'!$D$2:$D$606,"ЦДН-1",'[1]Исходные данные'!$F$2:$F$606,"62")</f>
        <v>0</v>
      </c>
      <c r="H32" s="11">
        <f>SUMIFS('[1]Исходные данные'!$I$2:$I$606,'[1]Исходные данные'!$D$2:$D$606,"ЦДН-2",'[1]Исходные данные'!$F$2:$F$606,"62")</f>
        <v>0</v>
      </c>
      <c r="I32" s="11">
        <f>SUMIFS('[1]Исходные данные'!$J$2:$J$606,'[1]Исходные данные'!$D$2:$D$606,"ЦДН-2",'[1]Исходные данные'!$F$2:$F$606,"62")</f>
        <v>0</v>
      </c>
      <c r="J32" s="11">
        <f>SUMIFS('[1]Исходные данные'!$I$2:$I$606,'[1]Исходные данные'!$D$2:$D$606,"ЦДН-3",'[1]Исходные данные'!$F$2:$F$606,"62")</f>
        <v>1</v>
      </c>
      <c r="K32" s="11">
        <f>SUMIFS('[1]Исходные данные'!$J$2:$J$606,'[1]Исходные данные'!$D$2:$D$606,"ЦДН-3",'[1]Исходные данные'!$F$2:$F$606,"62")</f>
        <v>0</v>
      </c>
      <c r="L32" s="11">
        <f>SUMIFS('[1]Исходные данные'!$I$2:$I$606,'[1]Исходные данные'!$D$2:$D$606,"ЦППН",'[1]Исходные данные'!$F$2:$F$606,"62")</f>
        <v>0</v>
      </c>
      <c r="M32" s="11">
        <f>SUMIFS('[1]Исходные данные'!$J$2:$J$606,'[1]Исходные данные'!$D$2:$D$606,"ЦППН",'[1]Исходные данные'!$F$2:$F$606,"62")</f>
        <v>0</v>
      </c>
      <c r="N32" s="11">
        <f>SUMIFS('[1]Исходные данные'!$I$2:$I$606,'[1]Исходные данные'!$D$2:$D$606,"ЦППД",'[1]Исходные данные'!$F$2:$F$606,"62")</f>
        <v>0</v>
      </c>
      <c r="O32" s="11">
        <f>SUMIFS('[1]Исходные данные'!$J$2:$J$606,'[1]Исходные данные'!$D$2:$D$606,"ЦППД",'[1]Исходные данные'!$F$2:$F$606,"62")</f>
        <v>0</v>
      </c>
      <c r="P32" s="11">
        <f>SUMIFS('[1]Исходные данные'!$I$2:$I$606,'[1]Исходные данные'!$D$2:$D$606,"ЭЦ",'[1]Исходные данные'!$F$2:$F$606,"62")</f>
        <v>0</v>
      </c>
      <c r="Q32" s="11">
        <f>SUMIFS('[1]Исходные данные'!$J$2:$J$606,'[1]Исходные данные'!$D$2:$D$606,"ЭЦ",'[1]Исходные данные'!$F$2:$F$606,"62")</f>
        <v>0</v>
      </c>
      <c r="R32" s="11">
        <f>SUMIFS('[1]Исходные данные'!$I$2:$I$606,'[1]Исходные данные'!$D$2:$D$606,"ОКС",'[1]Исходные данные'!$F$2:$F$606,"62")</f>
        <v>0</v>
      </c>
      <c r="S32" s="11">
        <f>SUMIFS('[1]Исходные данные'!$J$2:$J$606,'[1]Исходные данные'!$D$2:$D$606,"ОКС",'[1]Исходные данные'!$F$2:$F$606,"62")</f>
        <v>0</v>
      </c>
      <c r="T32" s="11">
        <f>SUMIFS('[1]Исходные данные'!$I$2:$I$606,'[1]Исходные данные'!$D$2:$D$606,"РСЦ",'[1]Исходные данные'!$F$2:$F$606,"62")</f>
        <v>0</v>
      </c>
      <c r="U32" s="11">
        <f>SUMIFS('[1]Исходные данные'!$J$2:$J$606,'[1]Исходные данные'!$D$2:$D$606,"РСЦ",'[1]Исходные данные'!$F$2:$F$606,"62")</f>
        <v>0</v>
      </c>
      <c r="V32" s="11">
        <f>SUMIFS('[1]Исходные данные'!$I$2:$I$606,'[1]Исходные данные'!$D$2:$D$606,"ЦИТС",'[1]Исходные данные'!$F$2:$F$606,"62")</f>
        <v>0</v>
      </c>
      <c r="W32" s="11">
        <f>SUMIFS('[1]Исходные данные'!$J$2:$J$606,'[1]Исходные данные'!$D$2:$D$606,"ЦИТС",'[1]Исходные данные'!$F$2:$F$606,"62")</f>
        <v>0</v>
      </c>
      <c r="X32" s="11">
        <f>SUMIFS('[1]Исходные данные'!$I$2:$I$606,'[1]Исходные данные'!$D$2:$D$606,"ПРЦЭО",'[1]Исходные данные'!$F$2:$F$606,"62")</f>
        <v>0</v>
      </c>
      <c r="Y32" s="11">
        <f>SUMIFS('[1]Исходные данные'!$J$2:$J$606,'[1]Исходные данные'!$D$2:$D$606,"ПРЦЭО",'[1]Исходные данные'!$F$2:$F$606,"62")</f>
        <v>0</v>
      </c>
      <c r="Z32" s="11">
        <f>SUMIFS('[1]Исходные данные'!$I$2:$I$606,'[1]Исходные данные'!$D$2:$D$606,"ГЦ",'[1]Исходные данные'!$F$2:$F$606,"62")</f>
        <v>0</v>
      </c>
      <c r="AA32" s="11">
        <f>SUMIFS('[1]Исходные данные'!$J$2:$J$606,'[1]Исходные данные'!$D$2:$D$606,"ГЦ",'[1]Исходные данные'!$F$2:$F$606,"62")</f>
        <v>0</v>
      </c>
      <c r="AB32" s="11">
        <f>SUMIFS('[1]Исходные данные'!$I$2:$I$606,'[1]Исходные данные'!$D$2:$D$606,"ЦПП",'[1]Исходные данные'!$F$2:$F$606,"62")</f>
        <v>0</v>
      </c>
      <c r="AC32" s="11">
        <f>SUMIFS('[1]Исходные данные'!$J$2:$J$606,'[1]Исходные данные'!$D$2:$D$606,"ЦПП",'[1]Исходные данные'!$F$2:$F$606,"62")</f>
        <v>0</v>
      </c>
      <c r="AD32" s="11">
        <f>SUMIFS('[1]Исходные данные'!$I$2:$I$606,'[1]Исходные данные'!$D$2:$D$606,"БМТС",'[1]Исходные данные'!$F$2:$F$606,"62")</f>
        <v>0</v>
      </c>
      <c r="AE32" s="11">
        <f>SUMIFS('[1]Исходные данные'!$J$2:$J$606,'[1]Исходные данные'!$D$2:$D$606,"БМТС",'[1]Исходные данные'!$F$2:$F$606,"62")</f>
        <v>0</v>
      </c>
      <c r="AF32" s="11">
        <f>SUMIFS('[1]Исходные данные'!$I$2:$I$606,'[1]Исходные данные'!$D$2:$D$606,"УБиПКРС-1",'[1]Исходные данные'!$F$2:$F$606,"62")</f>
        <v>0</v>
      </c>
      <c r="AG32" s="11">
        <f>SUMIFS('[1]Исходные данные'!$J$2:$J$606,'[1]Исходные данные'!$D$2:$D$606,"УБиПКРС-1",'[1]Исходные данные'!$F$2:$F$606,"62")</f>
        <v>0</v>
      </c>
      <c r="AH32" s="11">
        <f>SUMIFS('[1]Исходные данные'!$I$2:$I$606,'[1]Исходные данные'!$D$2:$D$606,"УБиПКРС-2",'[1]Исходные данные'!$F$2:$F$606,"62")</f>
        <v>1</v>
      </c>
      <c r="AI32" s="11">
        <f>SUMIFS('[1]Исходные данные'!$J$2:$J$606,'[1]Исходные данные'!$D$2:$D$606,"УБиПКРС-2",'[1]Исходные данные'!$F$2:$F$606,"62")</f>
        <v>1</v>
      </c>
      <c r="AJ32" s="11">
        <f>SUMIFS('[1]Исходные данные'!$I$2:$I$606,'[1]Исходные данные'!$D$2:$D$606,"ДТТ-1",'[1]Исходные данные'!$F$2:$F$606,"62")</f>
        <v>0</v>
      </c>
      <c r="AK32" s="11">
        <f>SUMIFS('[1]Исходные данные'!$J$2:$J$606,'[1]Исходные данные'!$D$2:$D$606,"ДТТ-1",'[1]Исходные данные'!$F$2:$F$606,"62")</f>
        <v>0</v>
      </c>
      <c r="AL32" s="11">
        <f>SUMIFS('[1]Исходные данные'!$I$2:$I$606,'[1]Исходные данные'!$D$2:$D$606,"ЦНИПР",'[1]Исходные данные'!$F$2:$F$606,"62")</f>
        <v>0</v>
      </c>
      <c r="AM32" s="11">
        <f>SUMIFS('[1]Исходные данные'!$J$2:$J$606,'[1]Исходные данные'!$D$2:$D$606,"ЦНИПР",'[1]Исходные данные'!$F$2:$F$606,"62")</f>
        <v>0</v>
      </c>
      <c r="AN32" s="11">
        <f>SUMIFS('[1]Исходные данные'!$I$2:$I$606,'[1]Исходные данные'!$D$2:$D$606,"ОБиПКРС",'[1]Исходные данные'!$F$2:$F$606,"62")</f>
        <v>0</v>
      </c>
      <c r="AO32" s="11">
        <f>SUMIFS('[1]Исходные данные'!$J$2:$J$606,'[1]Исходные данные'!$D$2:$D$606,"ОБиПКРС",'[1]Исходные данные'!$F$2:$F$606,"62")</f>
        <v>0</v>
      </c>
      <c r="AP32" s="11">
        <f>SUMIFS('[1]Исходные данные'!$I$2:$I$606,'[1]Исходные данные'!$D$2:$D$606,"ЦАП",'[1]Исходные данные'!$F$2:$F$606,"62")</f>
        <v>0</v>
      </c>
      <c r="AQ32" s="11">
        <f>SUMIFS('[1]Исходные данные'!$J$2:$J$606,'[1]Исходные данные'!$D$2:$D$606,"ЦАП",'[1]Исходные данные'!$F$2:$F$606,"62")</f>
        <v>0</v>
      </c>
      <c r="AR32" s="11">
        <f>SUMIFS('[1]Исходные данные'!$I$2:$I$606,'[1]Исходные данные'!$D$2:$D$606,"ГООС",'[1]Исходные данные'!$F$2:$F$606,"62")</f>
        <v>0</v>
      </c>
      <c r="AS32" s="11">
        <f>SUMIFS('[1]Исходные данные'!$J$2:$J$606,'[1]Исходные данные'!$D$2:$D$606,"ГООС",'[1]Исходные данные'!$F$2:$F$606,"62")</f>
        <v>0</v>
      </c>
      <c r="AT32" s="11">
        <f>SUMIFS('[1]Исходные данные'!$I$2:$I$606,'[1]Исходные данные'!$D$2:$D$606,"Ақкетік",'[1]Исходные данные'!$F$2:$F$606,"62")</f>
        <v>0</v>
      </c>
      <c r="AU32" s="11">
        <f>SUMIFS('[1]Исходные данные'!$J$2:$J$606,'[1]Исходные данные'!$D$2:$D$606,"Ақкетік",'[1]Исходные данные'!$F$2:$F$606,"62")</f>
        <v>0</v>
      </c>
      <c r="AV32" s="11">
        <f>SUMIFS('[1]Исходные данные'!$I$2:$I$606,'[1]Исходные данные'!$D$2:$D$606,"Нейрон",'[1]Исходные данные'!$F$2:$F$606,"62")</f>
        <v>0</v>
      </c>
      <c r="AW32" s="11">
        <f>SUMIFS('[1]Исходные данные'!$J$2:$J$606,'[1]Исходные данные'!$D$2:$D$606,"Нейрон",'[1]Исходные данные'!$F$2:$F$606,"62")</f>
        <v>0</v>
      </c>
      <c r="AX32" s="11">
        <f>SUMIFS('[1]Исходные данные'!$I$2:$I$606,'[1]Исходные данные'!$D$2:$D$606,"Бурение",'[1]Исходные данные'!$F$2:$F$606,"62")</f>
        <v>0</v>
      </c>
      <c r="AY32" s="11">
        <f>SUMIFS('[1]Исходные данные'!$J$2:$J$606,'[1]Исходные данные'!$D$2:$D$606,"Бурение",'[1]Исходные данные'!$F$2:$F$606,"62")</f>
        <v>0</v>
      </c>
      <c r="AZ32" s="11">
        <f>SUMIFS('[1]Исходные данные'!$I$2:$I$606,'[1]Исходные данные'!$D$2:$D$606,"ЦТВС",'[1]Исходные данные'!$F$2:$F$606,"62")</f>
        <v>0</v>
      </c>
      <c r="BA32" s="11">
        <f>SUMIFS('[1]Исходные данные'!$J$2:$J$606,'[1]Исходные данные'!$D$2:$D$606,"ЦТВС",'[1]Исходные данные'!$F$2:$F$606,"62")</f>
        <v>0</v>
      </c>
      <c r="BB32" s="11">
        <f>SUMIFS('[1]Исходные данные'!$I$2:$I$606,'[1]Исходные данные'!$D$2:$D$606,"ТБ",'[1]Исходные данные'!$F$2:$F$606,"62")</f>
        <v>0</v>
      </c>
      <c r="BC32" s="11">
        <f>SUMIFS('[1]Исходные данные'!$J$2:$J$606,'[1]Исходные данные'!$D$2:$D$606,"ТБ",'[1]Исходные данные'!$F$2:$F$606,"62")</f>
        <v>0</v>
      </c>
      <c r="BD32" s="11">
        <f>SUMIFS('[1]Исходные данные'!$I$2:$I$606,'[1]Исходные данные'!$D$2:$D$606,"ОТДН",'[1]Исходные данные'!$F$2:$F$606,"62")</f>
        <v>0</v>
      </c>
      <c r="BE32" s="11">
        <f>SUMIFS('[1]Исходные данные'!$J$2:$J$606,'[1]Исходные данные'!$D$2:$D$606,"ОТДН",'[1]Исходные данные'!$F$2:$F$606,"62")</f>
        <v>0</v>
      </c>
      <c r="BF32" s="11">
        <f>SUMIFS('[1]Исходные данные'!$I$2:$I$606,'[1]Исходные данные'!$D$2:$D$606,"ПЧ-Семсер",'[1]Исходные данные'!$F$2:$F$606,"62")</f>
        <v>0</v>
      </c>
      <c r="BG32" s="11">
        <f>SUMIFS('[1]Исходные данные'!$J$2:$J$606,'[1]Исходные данные'!$D$2:$D$606,"ПЧ-Семсер",'[1]Исходные данные'!$F$2:$F$606,"62")</f>
        <v>0</v>
      </c>
      <c r="BH32" s="11">
        <f>SUMIFS('[1]Исходные данные'!$I$2:$I$606,'[1]Исходные данные'!$D$2:$D$606,"ПРЦЭО(2)",'[1]Исходные данные'!$F$2:$F$606,"62")</f>
        <v>0</v>
      </c>
      <c r="BI32" s="11">
        <f>SUMIFS('[1]Исходные данные'!$J$2:$J$606,'[1]Исходные данные'!$D$2:$D$606,"ПРЦЭО(2)",'[1]Исходные данные'!$F$2:$F$606,"62")</f>
        <v>0</v>
      </c>
      <c r="BJ32" s="11">
        <f>SUMIFS('[1]Исходные данные'!$I$2:$I$606,'[1]Исходные данные'!$D$2:$D$606,"БД",'[1]Исходные данные'!$F$2:$F$606,"62")</f>
        <v>0</v>
      </c>
      <c r="BK32" s="11">
        <f>SUMIFS('[1]Исходные данные'!$J$2:$J$606,'[1]Исходные данные'!$D$2:$D$606,"БД",'[1]Исходные данные'!$F$2:$F$606,"62")</f>
        <v>0</v>
      </c>
      <c r="BL32" s="11">
        <f>SUMIFS('[1]Исходные данные'!$I$2:$I$606,'[1]Исходные данные'!$D$2:$D$606,"ОГиР",'[1]Исходные данные'!$F$2:$F$606,"62")</f>
        <v>0</v>
      </c>
      <c r="BM32" s="11">
        <f>SUMIFS('[1]Исходные данные'!$J$2:$J$606,'[1]Исходные данные'!$D$2:$D$606,"ОГиР",'[1]Исходные данные'!$F$2:$F$606,"62")</f>
        <v>0</v>
      </c>
      <c r="BN32" s="11">
        <f>SUMIFS('[1]Исходные данные'!$I$2:$I$606,'[1]Исходные данные'!$D$2:$D$606,"ГСРиВК",'[1]Исходные данные'!$F$2:$F$606,"62")</f>
        <v>0</v>
      </c>
      <c r="BO32" s="11">
        <f>SUMIFS('[1]Исходные данные'!$J$2:$J$606,'[1]Исходные данные'!$D$2:$D$606,"ГСРиВК",'[1]Исходные данные'!$F$2:$F$606,"62")</f>
        <v>0</v>
      </c>
      <c r="BP32" s="11">
        <f>SUMIFS('[1]Исходные данные'!$I$2:$I$606,'[1]Исходные данные'!$D$2:$D$606,"МПГУ",'[1]Исходные данные'!$F$2:$F$606,"62")</f>
        <v>0</v>
      </c>
      <c r="BQ32" s="11">
        <f>SUMIFS('[1]Исходные данные'!$J$2:$J$606,'[1]Исходные данные'!$D$2:$D$606,"МПГУ",'[1]Исходные данные'!$F$2:$F$606,"62")</f>
        <v>0</v>
      </c>
      <c r="BR32" s="11">
        <f>SUMIFS('[1]Исходные данные'!$I$2:$I$606,'[1]Исходные данные'!$D$2:$D$606,"БПО 2",'[1]Исходные данные'!$F$2:$F$606,"62")</f>
        <v>0</v>
      </c>
      <c r="BS32" s="11">
        <f>SUMIFS('[1]Исходные данные'!$J$2:$J$606,'[1]Исходные данные'!$D$2:$D$606,"БПО 2",'[1]Исходные данные'!$F$2:$F$606,"62")</f>
        <v>0</v>
      </c>
      <c r="BT32" s="11">
        <f>SUMIFS('[1]Исходные данные'!$I$2:$I$606,'[1]Исходные данные'!$D$2:$D$606,"ЛД",'[1]Исходные данные'!$F$2:$F$606,"62")</f>
        <v>0</v>
      </c>
      <c r="BU32" s="11">
        <f>SUMIFS('[1]Исходные данные'!$J$2:$J$606,'[1]Исходные данные'!$D$2:$D$606,"ЛД",'[1]Исходные данные'!$F$2:$F$606,"62")</f>
        <v>0</v>
      </c>
      <c r="BV32" s="11">
        <f>SUMIFS('[1]Исходные данные'!$I$2:$I$606,'[1]Исходные данные'!$D$2:$D$606,"Отделкадр",'[1]Исходные данные'!$F$2:$F$606,"62")</f>
        <v>0</v>
      </c>
      <c r="BW32" s="11">
        <f>SUMIFS('[1]Исходные данные'!$J$2:$J$606,'[1]Исходные данные'!$D$2:$D$606,"Отделкадр",'[1]Исходные данные'!$F$2:$F$606,"62")</f>
        <v>0</v>
      </c>
      <c r="BX32" s="11">
        <f>SUMIFS('[1]Исходные данные'!$I$2:$I$606,'[1]Исходные данные'!$D$2:$D$606,"ЦИТС.",'[1]Исходные данные'!$F$2:$F$606,"62")</f>
        <v>0</v>
      </c>
      <c r="BY32" s="11">
        <f>SUMIFS('[1]Исходные данные'!$J$2:$J$606,'[1]Исходные данные'!$D$2:$D$606,"ЦИТС.",'[1]Исходные данные'!$F$2:$F$606,"62")</f>
        <v>0</v>
      </c>
      <c r="BZ32" s="11">
        <f>SUMIFS('[1]Исходные данные'!$I$2:$I$606,'[1]Исходные данные'!$D$2:$D$606,"ОБО",'[1]Исходные данные'!$F$2:$F$606,"62")</f>
        <v>0</v>
      </c>
      <c r="CA32" s="11">
        <f>SUMIFS('[1]Исходные данные'!$J$2:$J$606,'[1]Исходные данные'!$D$2:$D$606,"ОБО",'[1]Исходные данные'!$F$2:$F$606,"62")</f>
        <v>0</v>
      </c>
      <c r="CB32" s="11">
        <f>SUMIFS('[1]Исходные данные'!$I$2:$I$606,'[1]Исходные данные'!$D$2:$D$606,"УЖЭО",'[1]Исходные данные'!$F$2:$F$606,"62")</f>
        <v>0</v>
      </c>
      <c r="CC32" s="11">
        <f>SUMIFS('[1]Исходные данные'!$J$2:$J$606,'[1]Исходные данные'!$D$2:$D$606,"УЖЭО",'[1]Исходные данные'!$F$2:$F$606,"62")</f>
        <v>0</v>
      </c>
      <c r="CD32" s="11">
        <f>SUMIFS('[1]Исходные данные'!$I$2:$I$606,'[1]Исходные данные'!$D$2:$D$606,"Мухтар/Хамит",'[1]Исходные данные'!$F$2:$F$606,"62")</f>
        <v>0</v>
      </c>
      <c r="CE32" s="11">
        <f>SUMIFS('[1]Исходные данные'!$J$2:$J$606,'[1]Исходные данные'!$D$2:$D$606,"Мухтар/Хамит",'[1]Исходные данные'!$F$2:$F$606,"62")</f>
        <v>0</v>
      </c>
      <c r="CF32" s="11">
        <f>SUMIFS('[1]Исходные данные'!$I$2:$I$606,'[1]Исходные данные'!$D$2:$D$606,"ОБО-    СБ",'[1]Исходные данные'!$F$2:$F$606,"62")</f>
        <v>0</v>
      </c>
      <c r="CG32" s="11">
        <f>SUMIFS('[1]Исходные данные'!$J$2:$J$606,'[1]Исходные данные'!$D$2:$D$606,"ОБО-    СБ",'[1]Исходные данные'!$F$2:$F$606,"62")</f>
        <v>0</v>
      </c>
      <c r="CH32" s="11">
        <f>SUMIFS('[1]Исходные данные'!$I$2:$I$606,'[1]Исходные данные'!$D$2:$D$606,"РМУ 2",'[1]Исходные данные'!$F$2:$F$606,"62")</f>
        <v>0</v>
      </c>
      <c r="CI32" s="11">
        <f>SUMIFS('[1]Исходные данные'!$J$2:$J$606,'[1]Исходные данные'!$D$2:$D$606,"РМУ 2",'[1]Исходные данные'!$F$2:$F$606,"62")</f>
        <v>0</v>
      </c>
      <c r="CJ32" s="11">
        <f>SUMIFS('[1]Исходные данные'!$I$2:$I$606,'[1]Исходные данные'!$D$2:$D$606,"ГАПиИТ",'[1]Исходные данные'!$F$2:$F$606,"62")</f>
        <v>0</v>
      </c>
      <c r="CK32" s="11">
        <f>SUMIFS('[1]Исходные данные'!$J$2:$J$606,'[1]Исходные данные'!$D$2:$D$606,"ГАПиИТ",'[1]Исходные данные'!$F$2:$F$606,"62")</f>
        <v>0</v>
      </c>
      <c r="CL32" s="11">
        <f>SUMIFS('[1]Исходные данные'!$I$2:$I$606,'[1]Исходные данные'!$D$2:$D$606,"ОМ",'[1]Исходные данные'!$F$2:$F$606,"62")</f>
        <v>0</v>
      </c>
      <c r="CM32" s="11">
        <f>SUMIFS('[1]Исходные данные'!$J$2:$J$606,'[1]Исходные данные'!$D$2:$D$606,"ОМ",'[1]Исходные данные'!$F$2:$F$606,"62")</f>
        <v>0</v>
      </c>
      <c r="CN32" s="11">
        <f>SUMIFS('[1]Исходные данные'!$I$2:$I$606,'[1]Исходные данные'!$D$2:$D$606,"оппоIR",'[1]Исходные данные'!$F$2:$F$606,"62")</f>
        <v>0</v>
      </c>
      <c r="CO32" s="11">
        <f>SUMIFS('[1]Исходные данные'!$J$2:$J$606,'[1]Исходные данные'!$D$2:$D$606,"оппоIR",'[1]Исходные данные'!$F$2:$F$606,"62")</f>
        <v>0</v>
      </c>
      <c r="CP32" s="11">
        <f>SUMIFS('[1]Исходные данные'!$I$2:$I$606,'[1]Исходные данные'!$D$2:$D$606,"Маркшейдер",'[1]Исходные данные'!$F$2:$F$606,"62")</f>
        <v>0</v>
      </c>
      <c r="CQ32" s="11">
        <f>SUMIFS('[1]Исходные данные'!$J$2:$J$606,'[1]Исходные данные'!$D$2:$D$606,"Маркшейдер",'[1]Исходные данные'!$F$2:$F$606,"62")</f>
        <v>0</v>
      </c>
      <c r="CR32" s="11">
        <f>SUMIFS('[1]Исходные данные'!$I$2:$I$606,'[1]Исходные данные'!$D$2:$D$606,"ПСО",'[1]Исходные данные'!$F$2:$F$606,"62")</f>
        <v>0</v>
      </c>
      <c r="CS32" s="11">
        <f>SUMIFS('[1]Исходные данные'!$J$2:$J$606,'[1]Исходные данные'!$D$2:$D$606,"ПСО",'[1]Исходные данные'!$F$2:$F$606,"62")</f>
        <v>0</v>
      </c>
    </row>
    <row r="33" spans="1:97" x14ac:dyDescent="0.25">
      <c r="A33" s="13" t="s">
        <v>111</v>
      </c>
      <c r="B33" s="11" t="s">
        <v>112</v>
      </c>
      <c r="C33" s="10">
        <f t="shared" si="0"/>
        <v>3</v>
      </c>
      <c r="D33" s="10">
        <f t="shared" si="1"/>
        <v>3</v>
      </c>
      <c r="E33" s="10">
        <f t="shared" si="1"/>
        <v>0</v>
      </c>
      <c r="F33" s="11">
        <f>SUMIFS('[1]Исходные данные'!$I$2:$I$606,'[1]Исходные данные'!$D$2:$D$606,"ЦДН-1",'[1]Исходные данные'!$F$2:$F$606,"23")</f>
        <v>0</v>
      </c>
      <c r="G33" s="11">
        <f>SUMIFS('[1]Исходные данные'!$J$2:$J$606,'[1]Исходные данные'!$D$2:$D$606,"ЦДН-1",'[1]Исходные данные'!$F$2:$F$606,"23")</f>
        <v>0</v>
      </c>
      <c r="H33" s="11">
        <f>SUMIFS('[1]Исходные данные'!$I$2:$I$606,'[1]Исходные данные'!$D$2:$D$606,"ЦДН-2",'[1]Исходные данные'!$F$2:$F$606,"23")</f>
        <v>0</v>
      </c>
      <c r="I33" s="11">
        <f>SUMIFS('[1]Исходные данные'!$J$2:$J$606,'[1]Исходные данные'!$D$2:$D$606,"ЦДН-2",'[1]Исходные данные'!$F$2:$F$606,"23")</f>
        <v>0</v>
      </c>
      <c r="J33" s="11">
        <f>SUMIFS('[1]Исходные данные'!$I$2:$I$606,'[1]Исходные данные'!$D$2:$D$606,"ЦДН-3",'[1]Исходные данные'!$F$2:$F$606,"23")</f>
        <v>0</v>
      </c>
      <c r="K33" s="11">
        <f>SUMIFS('[1]Исходные данные'!$J$2:$J$606,'[1]Исходные данные'!$D$2:$D$606,"ЦДН-3",'[1]Исходные данные'!$F$2:$F$606,"23")</f>
        <v>0</v>
      </c>
      <c r="L33" s="11">
        <f>SUMIFS('[1]Исходные данные'!$I$2:$I$606,'[1]Исходные данные'!$D$2:$D$606,"ЦППН",'[1]Исходные данные'!$F$2:$F$606,"23")</f>
        <v>0</v>
      </c>
      <c r="M33" s="11">
        <f>SUMIFS('[1]Исходные данные'!$J$2:$J$606,'[1]Исходные данные'!$D$2:$D$606,"ЦППН",'[1]Исходные данные'!$F$2:$F$606,"23")</f>
        <v>0</v>
      </c>
      <c r="N33" s="11">
        <f>SUMIFS('[1]Исходные данные'!$I$2:$I$606,'[1]Исходные данные'!$D$2:$D$606,"ЦППД",'[1]Исходные данные'!$F$2:$F$606,"23")</f>
        <v>0</v>
      </c>
      <c r="O33" s="11">
        <f>SUMIFS('[1]Исходные данные'!$J$2:$J$606,'[1]Исходные данные'!$D$2:$D$606,"ЦППД",'[1]Исходные данные'!$F$2:$F$606,"23")</f>
        <v>0</v>
      </c>
      <c r="P33" s="11">
        <f>SUMIFS('[1]Исходные данные'!$I$2:$I$606,'[1]Исходные данные'!$D$2:$D$606,"ЭЦ",'[1]Исходные данные'!$F$2:$F$606,"23")</f>
        <v>1</v>
      </c>
      <c r="Q33" s="11">
        <f>SUMIFS('[1]Исходные данные'!$J$2:$J$606,'[1]Исходные данные'!$D$2:$D$606,"ЭЦ",'[1]Исходные данные'!$F$2:$F$606,"23")</f>
        <v>0</v>
      </c>
      <c r="R33" s="11">
        <f>SUMIFS('[1]Исходные данные'!$I$2:$I$606,'[1]Исходные данные'!$D$2:$D$606,"ОКС",'[1]Исходные данные'!$F$2:$F$606,"23")</f>
        <v>0</v>
      </c>
      <c r="S33" s="11">
        <f>SUMIFS('[1]Исходные данные'!$J$2:$J$606,'[1]Исходные данные'!$D$2:$D$606,"ОКС",'[1]Исходные данные'!$F$2:$F$606,"23")</f>
        <v>0</v>
      </c>
      <c r="T33" s="11">
        <f>SUMIFS('[1]Исходные данные'!$I$2:$I$606,'[1]Исходные данные'!$D$2:$D$606,"РСЦ",'[1]Исходные данные'!$F$2:$F$606,"23")</f>
        <v>0</v>
      </c>
      <c r="U33" s="11">
        <f>SUMIFS('[1]Исходные данные'!$J$2:$J$606,'[1]Исходные данные'!$D$2:$D$606,"РСЦ",'[1]Исходные данные'!$F$2:$F$606,"23")</f>
        <v>0</v>
      </c>
      <c r="V33" s="11">
        <f>SUMIFS('[1]Исходные данные'!$I$2:$I$606,'[1]Исходные данные'!$D$2:$D$606,"ЦИТС",'[1]Исходные данные'!$F$2:$F$606,"23")</f>
        <v>2</v>
      </c>
      <c r="W33" s="11">
        <f>SUMIFS('[1]Исходные данные'!$J$2:$J$606,'[1]Исходные данные'!$D$2:$D$606,"ЦИТС",'[1]Исходные данные'!$F$2:$F$606,"23")</f>
        <v>0</v>
      </c>
      <c r="X33" s="11">
        <f>SUMIFS('[1]Исходные данные'!$I$2:$I$606,'[1]Исходные данные'!$D$2:$D$606,"ПРЦЭО",'[1]Исходные данные'!$F$2:$F$606,"23")</f>
        <v>0</v>
      </c>
      <c r="Y33" s="11">
        <f>SUMIFS('[1]Исходные данные'!$J$2:$J$606,'[1]Исходные данные'!$D$2:$D$606,"ПРЦЭО",'[1]Исходные данные'!$F$2:$F$606,"23")</f>
        <v>0</v>
      </c>
      <c r="Z33" s="11">
        <f>SUMIFS('[1]Исходные данные'!$I$2:$I$606,'[1]Исходные данные'!$D$2:$D$606,"ГЦ",'[1]Исходные данные'!$F$2:$F$606,"23")</f>
        <v>0</v>
      </c>
      <c r="AA33" s="11">
        <f>SUMIFS('[1]Исходные данные'!$J$2:$J$606,'[1]Исходные данные'!$D$2:$D$606,"ГЦ",'[1]Исходные данные'!$F$2:$F$606,"23")</f>
        <v>0</v>
      </c>
      <c r="AB33" s="11">
        <f>SUMIFS('[1]Исходные данные'!$I$2:$I$606,'[1]Исходные данные'!$D$2:$D$606,"ЦПП",'[1]Исходные данные'!$F$2:$F$606,"23")</f>
        <v>0</v>
      </c>
      <c r="AC33" s="11">
        <f>SUMIFS('[1]Исходные данные'!$J$2:$J$606,'[1]Исходные данные'!$D$2:$D$606,"ЦПП",'[1]Исходные данные'!$F$2:$F$606,"23")</f>
        <v>0</v>
      </c>
      <c r="AD33" s="11">
        <f>SUMIFS('[1]Исходные данные'!$I$2:$I$606,'[1]Исходные данные'!$D$2:$D$606,"БМТС",'[1]Исходные данные'!$F$2:$F$606,"23")</f>
        <v>0</v>
      </c>
      <c r="AE33" s="11">
        <f>SUMIFS('[1]Исходные данные'!$J$2:$J$606,'[1]Исходные данные'!$D$2:$D$606,"БМТС",'[1]Исходные данные'!$F$2:$F$606,"23")</f>
        <v>0</v>
      </c>
      <c r="AF33" s="11">
        <f>SUMIFS('[1]Исходные данные'!$I$2:$I$606,'[1]Исходные данные'!$D$2:$D$606,"УБиПКРС-1",'[1]Исходные данные'!$F$2:$F$606,"23")</f>
        <v>0</v>
      </c>
      <c r="AG33" s="11">
        <f>SUMIFS('[1]Исходные данные'!$J$2:$J$606,'[1]Исходные данные'!$D$2:$D$606,"УБиПКРС-1",'[1]Исходные данные'!$F$2:$F$606,"23")</f>
        <v>0</v>
      </c>
      <c r="AH33" s="11">
        <f>SUMIFS('[1]Исходные данные'!$I$2:$I$606,'[1]Исходные данные'!$D$2:$D$606,"УБиПКРС-2",'[1]Исходные данные'!$F$2:$F$606,"23")</f>
        <v>0</v>
      </c>
      <c r="AI33" s="11">
        <f>SUMIFS('[1]Исходные данные'!$J$2:$J$606,'[1]Исходные данные'!$D$2:$D$606,"УБиПКРС-2",'[1]Исходные данные'!$F$2:$F$606,"23")</f>
        <v>0</v>
      </c>
      <c r="AJ33" s="11">
        <f>SUMIFS('[1]Исходные данные'!$I$2:$I$606,'[1]Исходные данные'!$D$2:$D$606,"ДТТ-1",'[1]Исходные данные'!$F$2:$F$606,"23")</f>
        <v>0</v>
      </c>
      <c r="AK33" s="11">
        <f>SUMIFS('[1]Исходные данные'!$J$2:$J$606,'[1]Исходные данные'!$D$2:$D$606,"ДТТ-1",'[1]Исходные данные'!$F$2:$F$606,"23")</f>
        <v>0</v>
      </c>
      <c r="AL33" s="11">
        <f>SUMIFS('[1]Исходные данные'!$I$2:$I$606,'[1]Исходные данные'!$D$2:$D$606,"ЦНИПР",'[1]Исходные данные'!$F$2:$F$606,"23")</f>
        <v>0</v>
      </c>
      <c r="AM33" s="11">
        <f>SUMIFS('[1]Исходные данные'!$J$2:$J$606,'[1]Исходные данные'!$D$2:$D$606,"ЦНИПР",'[1]Исходные данные'!$F$2:$F$606,"23")</f>
        <v>0</v>
      </c>
      <c r="AN33" s="11">
        <f>SUMIFS('[1]Исходные данные'!$I$2:$I$606,'[1]Исходные данные'!$D$2:$D$606,"ОБиПКРС",'[1]Исходные данные'!$F$2:$F$606,"23")</f>
        <v>0</v>
      </c>
      <c r="AO33" s="11">
        <f>SUMIFS('[1]Исходные данные'!$J$2:$J$606,'[1]Исходные данные'!$D$2:$D$606,"ОБиПКРС",'[1]Исходные данные'!$F$2:$F$606,"23")</f>
        <v>0</v>
      </c>
      <c r="AP33" s="11">
        <f>SUMIFS('[1]Исходные данные'!$I$2:$I$606,'[1]Исходные данные'!$D$2:$D$606,"ЦАП",'[1]Исходные данные'!$F$2:$F$606,"23")</f>
        <v>0</v>
      </c>
      <c r="AQ33" s="11">
        <f>SUMIFS('[1]Исходные данные'!$J$2:$J$606,'[1]Исходные данные'!$D$2:$D$606,"ЦАП",'[1]Исходные данные'!$F$2:$F$606,"23")</f>
        <v>0</v>
      </c>
      <c r="AR33" s="11">
        <f>SUMIFS('[1]Исходные данные'!$I$2:$I$606,'[1]Исходные данные'!$D$2:$D$606,"ГООС",'[1]Исходные данные'!$F$2:$F$606,"23")</f>
        <v>0</v>
      </c>
      <c r="AS33" s="11">
        <f>SUMIFS('[1]Исходные данные'!$J$2:$J$606,'[1]Исходные данные'!$D$2:$D$606,"ГООС",'[1]Исходные данные'!$F$2:$F$606,"23")</f>
        <v>0</v>
      </c>
      <c r="AT33" s="11">
        <f>SUMIFS('[1]Исходные данные'!$I$2:$I$606,'[1]Исходные данные'!$D$2:$D$606,"Ақкетік",'[1]Исходные данные'!$F$2:$F$606,"23")</f>
        <v>0</v>
      </c>
      <c r="AU33" s="11">
        <f>SUMIFS('[1]Исходные данные'!$J$2:$J$606,'[1]Исходные данные'!$D$2:$D$606,"Ақкетік",'[1]Исходные данные'!$F$2:$F$606,"23")</f>
        <v>0</v>
      </c>
      <c r="AV33" s="11">
        <f>SUMIFS('[1]Исходные данные'!$I$2:$I$606,'[1]Исходные данные'!$D$2:$D$606,"Нейрон",'[1]Исходные данные'!$F$2:$F$606,"23")</f>
        <v>0</v>
      </c>
      <c r="AW33" s="11">
        <f>SUMIFS('[1]Исходные данные'!$J$2:$J$606,'[1]Исходные данные'!$D$2:$D$606,"Нейрон",'[1]Исходные данные'!$F$2:$F$606,"23")</f>
        <v>0</v>
      </c>
      <c r="AX33" s="11">
        <f>SUMIFS('[1]Исходные данные'!$I$2:$I$606,'[1]Исходные данные'!$D$2:$D$606,"Бурение",'[1]Исходные данные'!$F$2:$F$606,"23")</f>
        <v>0</v>
      </c>
      <c r="AY33" s="11">
        <f>SUMIFS('[1]Исходные данные'!$J$2:$J$606,'[1]Исходные данные'!$D$2:$D$606,"Бурение",'[1]Исходные данные'!$F$2:$F$606,"23")</f>
        <v>0</v>
      </c>
      <c r="AZ33" s="11">
        <f>SUMIFS('[1]Исходные данные'!$I$2:$I$606,'[1]Исходные данные'!$D$2:$D$606,"ЦТВС",'[1]Исходные данные'!$F$2:$F$606,"23")</f>
        <v>0</v>
      </c>
      <c r="BA33" s="11">
        <f>SUMIFS('[1]Исходные данные'!$J$2:$J$606,'[1]Исходные данные'!$D$2:$D$606,"ЦТВС",'[1]Исходные данные'!$F$2:$F$606,"23")</f>
        <v>0</v>
      </c>
      <c r="BB33" s="11">
        <f>SUMIFS('[1]Исходные данные'!$I$2:$I$606,'[1]Исходные данные'!$D$2:$D$606,"ТБ",'[1]Исходные данные'!$F$2:$F$606,"23")</f>
        <v>0</v>
      </c>
      <c r="BC33" s="11">
        <f>SUMIFS('[1]Исходные данные'!$J$2:$J$606,'[1]Исходные данные'!$D$2:$D$606,"ТБ",'[1]Исходные данные'!$F$2:$F$606,"23")</f>
        <v>0</v>
      </c>
      <c r="BD33" s="11">
        <f>SUMIFS('[1]Исходные данные'!$I$2:$I$606,'[1]Исходные данные'!$D$2:$D$606,"ОТДН",'[1]Исходные данные'!$F$2:$F$606,"23")</f>
        <v>0</v>
      </c>
      <c r="BE33" s="11">
        <f>SUMIFS('[1]Исходные данные'!$J$2:$J$606,'[1]Исходные данные'!$D$2:$D$606,"ОТДН",'[1]Исходные данные'!$F$2:$F$606,"23")</f>
        <v>0</v>
      </c>
      <c r="BF33" s="11">
        <f>SUMIFS('[1]Исходные данные'!$I$2:$I$606,'[1]Исходные данные'!$D$2:$D$606,"ПЧ-Семсер",'[1]Исходные данные'!$F$2:$F$606,"23")</f>
        <v>0</v>
      </c>
      <c r="BG33" s="11">
        <f>SUMIFS('[1]Исходные данные'!$J$2:$J$606,'[1]Исходные данные'!$D$2:$D$606,"ПЧ-Семсер",'[1]Исходные данные'!$F$2:$F$606,"23")</f>
        <v>0</v>
      </c>
      <c r="BH33" s="11">
        <f>SUMIFS('[1]Исходные данные'!$I$2:$I$606,'[1]Исходные данные'!$D$2:$D$606,"ПРЦЭО(2)",'[1]Исходные данные'!$F$2:$F$606,"23")</f>
        <v>0</v>
      </c>
      <c r="BI33" s="11">
        <f>SUMIFS('[1]Исходные данные'!$J$2:$J$606,'[1]Исходные данные'!$D$2:$D$606,"ПРЦЭО(2)",'[1]Исходные данные'!$F$2:$F$606,"23")</f>
        <v>0</v>
      </c>
      <c r="BJ33" s="11">
        <f>SUMIFS('[1]Исходные данные'!$I$2:$I$606,'[1]Исходные данные'!$D$2:$D$606,"БД",'[1]Исходные данные'!$F$2:$F$606,"23")</f>
        <v>0</v>
      </c>
      <c r="BK33" s="11">
        <f>SUMIFS('[1]Исходные данные'!$J$2:$J$606,'[1]Исходные данные'!$D$2:$D$606,"БД",'[1]Исходные данные'!$F$2:$F$606,"23")</f>
        <v>0</v>
      </c>
      <c r="BL33" s="11">
        <f>SUMIFS('[1]Исходные данные'!$I$2:$I$606,'[1]Исходные данные'!$D$2:$D$606,"ОГиР",'[1]Исходные данные'!$F$2:$F$606,"23")</f>
        <v>0</v>
      </c>
      <c r="BM33" s="11">
        <f>SUMIFS('[1]Исходные данные'!$J$2:$J$606,'[1]Исходные данные'!$D$2:$D$606,"ОГиР",'[1]Исходные данные'!$F$2:$F$606,"23")</f>
        <v>0</v>
      </c>
      <c r="BN33" s="11">
        <f>SUMIFS('[1]Исходные данные'!$I$2:$I$606,'[1]Исходные данные'!$D$2:$D$606,"ГСРиВК",'[1]Исходные данные'!$F$2:$F$606,"23")</f>
        <v>0</v>
      </c>
      <c r="BO33" s="11">
        <f>SUMIFS('[1]Исходные данные'!$J$2:$J$606,'[1]Исходные данные'!$D$2:$D$606,"ГСРиВК",'[1]Исходные данные'!$F$2:$F$606,"23")</f>
        <v>0</v>
      </c>
      <c r="BP33" s="11">
        <f>SUMIFS('[1]Исходные данные'!$I$2:$I$606,'[1]Исходные данные'!$D$2:$D$606,"МПГУ",'[1]Исходные данные'!$F$2:$F$606,"23")</f>
        <v>0</v>
      </c>
      <c r="BQ33" s="11">
        <f>SUMIFS('[1]Исходные данные'!$J$2:$J$606,'[1]Исходные данные'!$D$2:$D$606,"МПГУ",'[1]Исходные данные'!$F$2:$F$606,"23")</f>
        <v>0</v>
      </c>
      <c r="BR33" s="11">
        <f>SUMIFS('[1]Исходные данные'!$I$2:$I$606,'[1]Исходные данные'!$D$2:$D$606,"БПО 2",'[1]Исходные данные'!$F$2:$F$606,"23")</f>
        <v>0</v>
      </c>
      <c r="BS33" s="11">
        <f>SUMIFS('[1]Исходные данные'!$J$2:$J$606,'[1]Исходные данные'!$D$2:$D$606,"БПО 2",'[1]Исходные данные'!$F$2:$F$606,"23")</f>
        <v>0</v>
      </c>
      <c r="BT33" s="11">
        <f>SUMIFS('[1]Исходные данные'!$I$2:$I$606,'[1]Исходные данные'!$D$2:$D$606,"ЛД",'[1]Исходные данные'!$F$2:$F$606,"23")</f>
        <v>0</v>
      </c>
      <c r="BU33" s="11">
        <f>SUMIFS('[1]Исходные данные'!$J$2:$J$606,'[1]Исходные данные'!$D$2:$D$606,"ЛД",'[1]Исходные данные'!$F$2:$F$606,"23")</f>
        <v>0</v>
      </c>
      <c r="BV33" s="11">
        <f>SUMIFS('[1]Исходные данные'!$I$2:$I$606,'[1]Исходные данные'!$D$2:$D$606,"Отделкадр",'[1]Исходные данные'!$F$2:$F$606,"23")</f>
        <v>0</v>
      </c>
      <c r="BW33" s="11">
        <f>SUMIFS('[1]Исходные данные'!$J$2:$J$606,'[1]Исходные данные'!$D$2:$D$606,"Отделкадр",'[1]Исходные данные'!$F$2:$F$606,"23")</f>
        <v>0</v>
      </c>
      <c r="BX33" s="11">
        <f>SUMIFS('[1]Исходные данные'!$I$2:$I$606,'[1]Исходные данные'!$D$2:$D$606,"ЦИТС.",'[1]Исходные данные'!$F$2:$F$606,"23")</f>
        <v>0</v>
      </c>
      <c r="BY33" s="11">
        <f>SUMIFS('[1]Исходные данные'!$J$2:$J$606,'[1]Исходные данные'!$D$2:$D$606,"ЦИТС.",'[1]Исходные данные'!$F$2:$F$606,"23")</f>
        <v>0</v>
      </c>
      <c r="BZ33" s="11">
        <f>SUMIFS('[1]Исходные данные'!$I$2:$I$606,'[1]Исходные данные'!$D$2:$D$606,"ОБО",'[1]Исходные данные'!$F$2:$F$606,"23")</f>
        <v>0</v>
      </c>
      <c r="CA33" s="11">
        <f>SUMIFS('[1]Исходные данные'!$J$2:$J$606,'[1]Исходные данные'!$D$2:$D$606,"ОБО",'[1]Исходные данные'!$F$2:$F$606,"23")</f>
        <v>0</v>
      </c>
      <c r="CB33" s="11">
        <f>SUMIFS('[1]Исходные данные'!$I$2:$I$606,'[1]Исходные данные'!$D$2:$D$606,"УЖЭО",'[1]Исходные данные'!$F$2:$F$606,"23")</f>
        <v>0</v>
      </c>
      <c r="CC33" s="11">
        <f>SUMIFS('[1]Исходные данные'!$J$2:$J$606,'[1]Исходные данные'!$D$2:$D$606,"УЖЭО",'[1]Исходные данные'!$F$2:$F$606,"23")</f>
        <v>0</v>
      </c>
      <c r="CD33" s="11">
        <f>SUMIFS('[1]Исходные данные'!$I$2:$I$606,'[1]Исходные данные'!$D$2:$D$606,"Мухтар/Хамит",'[1]Исходные данные'!$F$2:$F$606,"23")</f>
        <v>0</v>
      </c>
      <c r="CE33" s="11">
        <f>SUMIFS('[1]Исходные данные'!$J$2:$J$606,'[1]Исходные данные'!$D$2:$D$606,"Мухтар/Хамит",'[1]Исходные данные'!$F$2:$F$606,"23")</f>
        <v>0</v>
      </c>
      <c r="CF33" s="11">
        <f>SUMIFS('[1]Исходные данные'!$I$2:$I$606,'[1]Исходные данные'!$D$2:$D$606,"ОБО-    СБ",'[1]Исходные данные'!$F$2:$F$606,"23")</f>
        <v>0</v>
      </c>
      <c r="CG33" s="11">
        <f>SUMIFS('[1]Исходные данные'!$J$2:$J$606,'[1]Исходные данные'!$D$2:$D$606,"ОБО-    СБ",'[1]Исходные данные'!$F$2:$F$606,"23")</f>
        <v>0</v>
      </c>
      <c r="CH33" s="11">
        <f>SUMIFS('[1]Исходные данные'!$I$2:$I$606,'[1]Исходные данные'!$D$2:$D$606,"РМУ 2",'[1]Исходные данные'!$F$2:$F$606,"23")</f>
        <v>0</v>
      </c>
      <c r="CI33" s="11">
        <f>SUMIFS('[1]Исходные данные'!$J$2:$J$606,'[1]Исходные данные'!$D$2:$D$606,"РМУ 2",'[1]Исходные данные'!$F$2:$F$606,"23")</f>
        <v>0</v>
      </c>
      <c r="CJ33" s="11">
        <f>SUMIFS('[1]Исходные данные'!$I$2:$I$606,'[1]Исходные данные'!$D$2:$D$606,"ГАПиИТ",'[1]Исходные данные'!$F$2:$F$606,"23")</f>
        <v>0</v>
      </c>
      <c r="CK33" s="11">
        <f>SUMIFS('[1]Исходные данные'!$J$2:$J$606,'[1]Исходные данные'!$D$2:$D$606,"ГАПиИТ",'[1]Исходные данные'!$F$2:$F$606,"23")</f>
        <v>0</v>
      </c>
      <c r="CL33" s="11">
        <f>SUMIFS('[1]Исходные данные'!$I$2:$I$606,'[1]Исходные данные'!$D$2:$D$606,"ОМ",'[1]Исходные данные'!$F$2:$F$606,"23")</f>
        <v>0</v>
      </c>
      <c r="CM33" s="11">
        <f>SUMIFS('[1]Исходные данные'!$J$2:$J$606,'[1]Исходные данные'!$D$2:$D$606,"ОМ",'[1]Исходные данные'!$F$2:$F$606,"23")</f>
        <v>0</v>
      </c>
      <c r="CN33" s="11">
        <f>SUMIFS('[1]Исходные данные'!$I$2:$I$606,'[1]Исходные данные'!$D$2:$D$606,"оппоIR",'[1]Исходные данные'!$F$2:$F$606,"23")</f>
        <v>0</v>
      </c>
      <c r="CO33" s="11">
        <f>SUMIFS('[1]Исходные данные'!$J$2:$J$606,'[1]Исходные данные'!$D$2:$D$606,"оппоIR",'[1]Исходные данные'!$F$2:$F$606,"23")</f>
        <v>0</v>
      </c>
      <c r="CP33" s="11">
        <f>SUMIFS('[1]Исходные данные'!$I$2:$I$606,'[1]Исходные данные'!$D$2:$D$606,"Маркшейдер",'[1]Исходные данные'!$F$2:$F$606,"23")</f>
        <v>0</v>
      </c>
      <c r="CQ33" s="11">
        <f>SUMIFS('[1]Исходные данные'!$J$2:$J$606,'[1]Исходные данные'!$D$2:$D$606,"Маркшейдер",'[1]Исходные данные'!$F$2:$F$606,"23")</f>
        <v>0</v>
      </c>
      <c r="CR33" s="11">
        <f>SUMIFS('[1]Исходные данные'!$I$2:$I$606,'[1]Исходные данные'!$D$2:$D$606,"ПСО",'[1]Исходные данные'!$F$2:$F$606,"23")</f>
        <v>0</v>
      </c>
      <c r="CS33" s="11">
        <f>SUMIFS('[1]Исходные данные'!$J$2:$J$606,'[1]Исходные данные'!$D$2:$D$606,"ПСО",'[1]Исходные данные'!$F$2:$F$606,"23")</f>
        <v>0</v>
      </c>
    </row>
    <row r="34" spans="1:97" x14ac:dyDescent="0.25">
      <c r="A34" s="13" t="s">
        <v>113</v>
      </c>
      <c r="B34" s="11" t="s">
        <v>114</v>
      </c>
      <c r="C34" s="10">
        <f t="shared" si="0"/>
        <v>2</v>
      </c>
      <c r="D34" s="10">
        <f t="shared" si="1"/>
        <v>1</v>
      </c>
      <c r="E34" s="10">
        <f t="shared" si="1"/>
        <v>1</v>
      </c>
      <c r="F34" s="11">
        <f>SUMIFS('[1]Исходные данные'!$I$2:$I$606,'[1]Исходные данные'!$D$2:$D$606,"ЦДН-1",'[1]Исходные данные'!$F$2:$F$606,"35.1")</f>
        <v>1</v>
      </c>
      <c r="G34" s="11">
        <f>SUMIFS('[1]Исходные данные'!$J$2:$J$606,'[1]Исходные данные'!$D$2:$D$606,"ЦДН-1",'[1]Исходные данные'!$F$2:$F$606,"35.1")</f>
        <v>0</v>
      </c>
      <c r="H34" s="11">
        <f>SUMIFS('[1]Исходные данные'!$I$2:$I$606,'[1]Исходные данные'!$D$2:$D$606,"ЦДН-2",'[1]Исходные данные'!$F$2:$F$606,"35.1")</f>
        <v>0</v>
      </c>
      <c r="I34" s="11">
        <f>SUMIFS('[1]Исходные данные'!$J$2:$J$606,'[1]Исходные данные'!$D$2:$D$606,"ЦДН-2",'[1]Исходные данные'!$F$2:$F$606,"35.1")</f>
        <v>0</v>
      </c>
      <c r="J34" s="11">
        <f>SUMIFS('[1]Исходные данные'!$I$2:$I$606,'[1]Исходные данные'!$D$2:$D$606,"ЦДН-3",'[1]Исходные данные'!$F$2:$F$606,"35.1")</f>
        <v>0</v>
      </c>
      <c r="K34" s="11">
        <f>SUMIFS('[1]Исходные данные'!$J$2:$J$606,'[1]Исходные данные'!$D$2:$D$606,"ЦДН-3",'[1]Исходные данные'!$F$2:$F$606,"35.1")</f>
        <v>0</v>
      </c>
      <c r="L34" s="11">
        <f>SUMIFS('[1]Исходные данные'!$I$2:$I$606,'[1]Исходные данные'!$D$2:$D$606,"ЦППН",'[1]Исходные данные'!$F$2:$F$606,"35.1")</f>
        <v>0</v>
      </c>
      <c r="M34" s="11">
        <f>SUMIFS('[1]Исходные данные'!$J$2:$J$606,'[1]Исходные данные'!$D$2:$D$606,"ЦППН",'[1]Исходные данные'!$F$2:$F$606,"35.1")</f>
        <v>0</v>
      </c>
      <c r="N34" s="11">
        <f>SUMIFS('[1]Исходные данные'!$I$2:$I$606,'[1]Исходные данные'!$D$2:$D$606,"ЦППД",'[1]Исходные данные'!$F$2:$F$606,"35.1")</f>
        <v>0</v>
      </c>
      <c r="O34" s="11">
        <f>SUMIFS('[1]Исходные данные'!$J$2:$J$606,'[1]Исходные данные'!$D$2:$D$606,"ЦППД",'[1]Исходные данные'!$F$2:$F$606,"35.1")</f>
        <v>0</v>
      </c>
      <c r="P34" s="11">
        <f>SUMIFS('[1]Исходные данные'!$I$2:$I$606,'[1]Исходные данные'!$D$2:$D$606,"ЭЦ",'[1]Исходные данные'!$F$2:$F$606,"35.1")</f>
        <v>0</v>
      </c>
      <c r="Q34" s="11">
        <f>SUMIFS('[1]Исходные данные'!$J$2:$J$606,'[1]Исходные данные'!$D$2:$D$606,"ЭЦ",'[1]Исходные данные'!$F$2:$F$606,"35.1")</f>
        <v>0</v>
      </c>
      <c r="R34" s="11">
        <f>SUMIFS('[1]Исходные данные'!$I$2:$I$606,'[1]Исходные данные'!$D$2:$D$606,"ОКС",'[1]Исходные данные'!$F$2:$F$606,"35.1")</f>
        <v>0</v>
      </c>
      <c r="S34" s="11">
        <f>SUMIFS('[1]Исходные данные'!$J$2:$J$606,'[1]Исходные данные'!$D$2:$D$606,"ОКС",'[1]Исходные данные'!$F$2:$F$606,"35.1")</f>
        <v>1</v>
      </c>
      <c r="T34" s="11">
        <f>SUMIFS('[1]Исходные данные'!$I$2:$I$606,'[1]Исходные данные'!$D$2:$D$606,"РСЦ",'[1]Исходные данные'!$F$2:$F$606,"35.1")</f>
        <v>0</v>
      </c>
      <c r="U34" s="11">
        <f>SUMIFS('[1]Исходные данные'!$J$2:$J$606,'[1]Исходные данные'!$D$2:$D$606,"РСЦ",'[1]Исходные данные'!$F$2:$F$606,"35.1")</f>
        <v>0</v>
      </c>
      <c r="V34" s="11">
        <f>SUMIFS('[1]Исходные данные'!$I$2:$I$606,'[1]Исходные данные'!$D$2:$D$606,"ЦИТС",'[1]Исходные данные'!$F$2:$F$606,"35.1")</f>
        <v>0</v>
      </c>
      <c r="W34" s="11">
        <f>SUMIFS('[1]Исходные данные'!$J$2:$J$606,'[1]Исходные данные'!$D$2:$D$606,"ЦИТС",'[1]Исходные данные'!$F$2:$F$606,"35.1")</f>
        <v>0</v>
      </c>
      <c r="X34" s="11">
        <f>SUMIFS('[1]Исходные данные'!$I$2:$I$606,'[1]Исходные данные'!$D$2:$D$606,"ПРЦЭО",'[1]Исходные данные'!$F$2:$F$606,"35.1")</f>
        <v>0</v>
      </c>
      <c r="Y34" s="11">
        <f>SUMIFS('[1]Исходные данные'!$J$2:$J$606,'[1]Исходные данные'!$D$2:$D$606,"ПРЦЭО",'[1]Исходные данные'!$F$2:$F$606,"35.1")</f>
        <v>0</v>
      </c>
      <c r="Z34" s="11">
        <f>SUMIFS('[1]Исходные данные'!$I$2:$I$606,'[1]Исходные данные'!$D$2:$D$606,"ГЦ",'[1]Исходные данные'!$F$2:$F$606,"35.1")</f>
        <v>0</v>
      </c>
      <c r="AA34" s="11">
        <f>SUMIFS('[1]Исходные данные'!$J$2:$J$606,'[1]Исходные данные'!$D$2:$D$606,"ГЦ",'[1]Исходные данные'!$F$2:$F$606,"35.1")</f>
        <v>0</v>
      </c>
      <c r="AB34" s="11">
        <f>SUMIFS('[1]Исходные данные'!$I$2:$I$606,'[1]Исходные данные'!$D$2:$D$606,"ЦПП",'[1]Исходные данные'!$F$2:$F$606,"35.1")</f>
        <v>0</v>
      </c>
      <c r="AC34" s="11">
        <f>SUMIFS('[1]Исходные данные'!$J$2:$J$606,'[1]Исходные данные'!$D$2:$D$606,"ЦПП",'[1]Исходные данные'!$F$2:$F$606,"35.1")</f>
        <v>0</v>
      </c>
      <c r="AD34" s="11">
        <f>SUMIFS('[1]Исходные данные'!$I$2:$I$606,'[1]Исходные данные'!$D$2:$D$606,"БМТС",'[1]Исходные данные'!$F$2:$F$606,"35.1")</f>
        <v>0</v>
      </c>
      <c r="AE34" s="11">
        <f>SUMIFS('[1]Исходные данные'!$J$2:$J$606,'[1]Исходные данные'!$D$2:$D$606,"БМТС",'[1]Исходные данные'!$F$2:$F$606,"35.1")</f>
        <v>0</v>
      </c>
      <c r="AF34" s="11">
        <f>SUMIFS('[1]Исходные данные'!$I$2:$I$606,'[1]Исходные данные'!$D$2:$D$606,"УБиПКРС-1",'[1]Исходные данные'!$F$2:$F$606,"35.1")</f>
        <v>0</v>
      </c>
      <c r="AG34" s="11">
        <f>SUMIFS('[1]Исходные данные'!$J$2:$J$606,'[1]Исходные данные'!$D$2:$D$606,"УБиПКРС-1",'[1]Исходные данные'!$F$2:$F$606,"35.1")</f>
        <v>0</v>
      </c>
      <c r="AH34" s="11">
        <f>SUMIFS('[1]Исходные данные'!$I$2:$I$606,'[1]Исходные данные'!$D$2:$D$606,"УБиПКРС-2",'[1]Исходные данные'!$F$2:$F$606,"35.1")</f>
        <v>0</v>
      </c>
      <c r="AI34" s="11">
        <f>SUMIFS('[1]Исходные данные'!$J$2:$J$606,'[1]Исходные данные'!$D$2:$D$606,"УБиПКРС-2",'[1]Исходные данные'!$F$2:$F$606,"35.1")</f>
        <v>0</v>
      </c>
      <c r="AJ34" s="11">
        <f>SUMIFS('[1]Исходные данные'!$I$2:$I$606,'[1]Исходные данные'!$D$2:$D$606,"ДТТ-1",'[1]Исходные данные'!$F$2:$F$606,"35.1")</f>
        <v>0</v>
      </c>
      <c r="AK34" s="11">
        <f>SUMIFS('[1]Исходные данные'!$J$2:$J$606,'[1]Исходные данные'!$D$2:$D$606,"ДТТ-1",'[1]Исходные данные'!$F$2:$F$606,"35.1")</f>
        <v>0</v>
      </c>
      <c r="AL34" s="11">
        <f>SUMIFS('[1]Исходные данные'!$I$2:$I$606,'[1]Исходные данные'!$D$2:$D$606,"ЦНИПР",'[1]Исходные данные'!$F$2:$F$606,"35.1")</f>
        <v>0</v>
      </c>
      <c r="AM34" s="11">
        <f>SUMIFS('[1]Исходные данные'!$J$2:$J$606,'[1]Исходные данные'!$D$2:$D$606,"ЦНИПР",'[1]Исходные данные'!$F$2:$F$606,"35.1")</f>
        <v>0</v>
      </c>
      <c r="AN34" s="11">
        <f>SUMIFS('[1]Исходные данные'!$I$2:$I$606,'[1]Исходные данные'!$D$2:$D$606,"ОБиПКРС",'[1]Исходные данные'!$F$2:$F$606,"35.1")</f>
        <v>0</v>
      </c>
      <c r="AO34" s="11">
        <f>SUMIFS('[1]Исходные данные'!$J$2:$J$606,'[1]Исходные данные'!$D$2:$D$606,"ОБиПКРС",'[1]Исходные данные'!$F$2:$F$606,"35.1")</f>
        <v>0</v>
      </c>
      <c r="AP34" s="11">
        <f>SUMIFS('[1]Исходные данные'!$I$2:$I$606,'[1]Исходные данные'!$D$2:$D$606,"ЦАП",'[1]Исходные данные'!$F$2:$F$606,"35.1")</f>
        <v>0</v>
      </c>
      <c r="AQ34" s="11">
        <f>SUMIFS('[1]Исходные данные'!$J$2:$J$606,'[1]Исходные данные'!$D$2:$D$606,"ЦАП",'[1]Исходные данные'!$F$2:$F$606,"35.1")</f>
        <v>0</v>
      </c>
      <c r="AR34" s="11">
        <f>SUMIFS('[1]Исходные данные'!$I$2:$I$606,'[1]Исходные данные'!$D$2:$D$606,"ГООС",'[1]Исходные данные'!$F$2:$F$606,"35.1")</f>
        <v>0</v>
      </c>
      <c r="AS34" s="11">
        <f>SUMIFS('[1]Исходные данные'!$J$2:$J$606,'[1]Исходные данные'!$D$2:$D$606,"ГООС",'[1]Исходные данные'!$F$2:$F$606,"35.1")</f>
        <v>0</v>
      </c>
      <c r="AT34" s="11">
        <f>SUMIFS('[1]Исходные данные'!$I$2:$I$606,'[1]Исходные данные'!$D$2:$D$606,"Ақкетік",'[1]Исходные данные'!$F$2:$F$606,"35.1")</f>
        <v>0</v>
      </c>
      <c r="AU34" s="11">
        <f>SUMIFS('[1]Исходные данные'!$J$2:$J$606,'[1]Исходные данные'!$D$2:$D$606,"Ақкетік",'[1]Исходные данные'!$F$2:$F$606,"35.1")</f>
        <v>0</v>
      </c>
      <c r="AV34" s="11">
        <f>SUMIFS('[1]Исходные данные'!$I$2:$I$606,'[1]Исходные данные'!$D$2:$D$606,"Нейрон",'[1]Исходные данные'!$F$2:$F$606,"35.1")</f>
        <v>0</v>
      </c>
      <c r="AW34" s="11">
        <f>SUMIFS('[1]Исходные данные'!$J$2:$J$606,'[1]Исходные данные'!$D$2:$D$606,"Нейрон",'[1]Исходные данные'!$F$2:$F$606,"35.1")</f>
        <v>0</v>
      </c>
      <c r="AX34" s="11">
        <f>SUMIFS('[1]Исходные данные'!$I$2:$I$606,'[1]Исходные данные'!$D$2:$D$606,"Бурение",'[1]Исходные данные'!$F$2:$F$606,"35.1")</f>
        <v>0</v>
      </c>
      <c r="AY34" s="11">
        <f>SUMIFS('[1]Исходные данные'!$J$2:$J$606,'[1]Исходные данные'!$D$2:$D$606,"Бурение",'[1]Исходные данные'!$F$2:$F$606,"35.1")</f>
        <v>0</v>
      </c>
      <c r="AZ34" s="11">
        <f>SUMIFS('[1]Исходные данные'!$I$2:$I$606,'[1]Исходные данные'!$D$2:$D$606,"ЦТВС",'[1]Исходные данные'!$F$2:$F$606,"35.1")</f>
        <v>0</v>
      </c>
      <c r="BA34" s="11">
        <f>SUMIFS('[1]Исходные данные'!$J$2:$J$606,'[1]Исходные данные'!$D$2:$D$606,"ЦТВС",'[1]Исходные данные'!$F$2:$F$606,"35.1")</f>
        <v>0</v>
      </c>
      <c r="BB34" s="11">
        <f>SUMIFS('[1]Исходные данные'!$I$2:$I$606,'[1]Исходные данные'!$D$2:$D$606,"ТБ",'[1]Исходные данные'!$F$2:$F$606,"35.1")</f>
        <v>0</v>
      </c>
      <c r="BC34" s="11">
        <f>SUMIFS('[1]Исходные данные'!$J$2:$J$606,'[1]Исходные данные'!$D$2:$D$606,"ТБ",'[1]Исходные данные'!$F$2:$F$606,"35.1")</f>
        <v>0</v>
      </c>
      <c r="BD34" s="11">
        <f>SUMIFS('[1]Исходные данные'!$I$2:$I$606,'[1]Исходные данные'!$D$2:$D$606,"ОТДН",'[1]Исходные данные'!$F$2:$F$606,"35.1")</f>
        <v>0</v>
      </c>
      <c r="BE34" s="11">
        <f>SUMIFS('[1]Исходные данные'!$J$2:$J$606,'[1]Исходные данные'!$D$2:$D$606,"ОТДН",'[1]Исходные данные'!$F$2:$F$606,"35.1")</f>
        <v>0</v>
      </c>
      <c r="BF34" s="11">
        <f>SUMIFS('[1]Исходные данные'!$I$2:$I$606,'[1]Исходные данные'!$D$2:$D$606,"ПЧ-Семсер",'[1]Исходные данные'!$F$2:$F$606,"35.1")</f>
        <v>0</v>
      </c>
      <c r="BG34" s="11">
        <f>SUMIFS('[1]Исходные данные'!$J$2:$J$606,'[1]Исходные данные'!$D$2:$D$606,"ПЧ-Семсер",'[1]Исходные данные'!$F$2:$F$606,"35.1")</f>
        <v>0</v>
      </c>
      <c r="BH34" s="11">
        <f>SUMIFS('[1]Исходные данные'!$I$2:$I$606,'[1]Исходные данные'!$D$2:$D$606,"ПРЦЭО(2)",'[1]Исходные данные'!$F$2:$F$606,"35.1")</f>
        <v>0</v>
      </c>
      <c r="BI34" s="11">
        <f>SUMIFS('[1]Исходные данные'!$J$2:$J$606,'[1]Исходные данные'!$D$2:$D$606,"ПРЦЭО(2)",'[1]Исходные данные'!$F$2:$F$606,"35.1")</f>
        <v>0</v>
      </c>
      <c r="BJ34" s="11">
        <f>SUMIFS('[1]Исходные данные'!$I$2:$I$606,'[1]Исходные данные'!$D$2:$D$606,"БД",'[1]Исходные данные'!$F$2:$F$606,"35.1")</f>
        <v>0</v>
      </c>
      <c r="BK34" s="11">
        <f>SUMIFS('[1]Исходные данные'!$J$2:$J$606,'[1]Исходные данные'!$D$2:$D$606,"БД",'[1]Исходные данные'!$F$2:$F$606,"35.1")</f>
        <v>0</v>
      </c>
      <c r="BL34" s="11">
        <f>SUMIFS('[1]Исходные данные'!$I$2:$I$606,'[1]Исходные данные'!$D$2:$D$606,"ОГиР",'[1]Исходные данные'!$F$2:$F$606,"35.1")</f>
        <v>0</v>
      </c>
      <c r="BM34" s="11">
        <f>SUMIFS('[1]Исходные данные'!$J$2:$J$606,'[1]Исходные данные'!$D$2:$D$606,"ОГиР",'[1]Исходные данные'!$F$2:$F$606,"35.1")</f>
        <v>0</v>
      </c>
      <c r="BN34" s="11">
        <f>SUMIFS('[1]Исходные данные'!$I$2:$I$606,'[1]Исходные данные'!$D$2:$D$606,"ГСРиВК",'[1]Исходные данные'!$F$2:$F$606,"35.1")</f>
        <v>0</v>
      </c>
      <c r="BO34" s="11">
        <f>SUMIFS('[1]Исходные данные'!$J$2:$J$606,'[1]Исходные данные'!$D$2:$D$606,"ГСРиВК",'[1]Исходные данные'!$F$2:$F$606,"35.1")</f>
        <v>0</v>
      </c>
      <c r="BP34" s="11">
        <f>SUMIFS('[1]Исходные данные'!$I$2:$I$606,'[1]Исходные данные'!$D$2:$D$606,"МПГУ",'[1]Исходные данные'!$F$2:$F$606,"35.1")</f>
        <v>0</v>
      </c>
      <c r="BQ34" s="11">
        <f>SUMIFS('[1]Исходные данные'!$J$2:$J$606,'[1]Исходные данные'!$D$2:$D$606,"МПГУ",'[1]Исходные данные'!$F$2:$F$606,"35.1")</f>
        <v>0</v>
      </c>
      <c r="BR34" s="11">
        <f>SUMIFS('[1]Исходные данные'!$I$2:$I$606,'[1]Исходные данные'!$D$2:$D$606,"БПО 2",'[1]Исходные данные'!$F$2:$F$606,"35.1")</f>
        <v>0</v>
      </c>
      <c r="BS34" s="11">
        <f>SUMIFS('[1]Исходные данные'!$J$2:$J$606,'[1]Исходные данные'!$D$2:$D$606,"БПО 2",'[1]Исходные данные'!$F$2:$F$606,"35.1")</f>
        <v>0</v>
      </c>
      <c r="BT34" s="11">
        <f>SUMIFS('[1]Исходные данные'!$I$2:$I$606,'[1]Исходные данные'!$D$2:$D$606,"ЛД",'[1]Исходные данные'!$F$2:$F$606,"35.1")</f>
        <v>0</v>
      </c>
      <c r="BU34" s="11">
        <f>SUMIFS('[1]Исходные данные'!$J$2:$J$606,'[1]Исходные данные'!$D$2:$D$606,"ЛД",'[1]Исходные данные'!$F$2:$F$606,"35.1")</f>
        <v>0</v>
      </c>
      <c r="BV34" s="11">
        <f>SUMIFS('[1]Исходные данные'!$I$2:$I$606,'[1]Исходные данные'!$D$2:$D$606,"Отделкадр",'[1]Исходные данные'!$F$2:$F$606,"35.1")</f>
        <v>0</v>
      </c>
      <c r="BW34" s="11">
        <f>SUMIFS('[1]Исходные данные'!$J$2:$J$606,'[1]Исходные данные'!$D$2:$D$606,"Отделкадр",'[1]Исходные данные'!$F$2:$F$606,"35.1")</f>
        <v>0</v>
      </c>
      <c r="BX34" s="11">
        <f>SUMIFS('[1]Исходные данные'!$I$2:$I$606,'[1]Исходные данные'!$D$2:$D$606,"ЦИТС.",'[1]Исходные данные'!$F$2:$F$606,"35.1")</f>
        <v>0</v>
      </c>
      <c r="BY34" s="11">
        <f>SUMIFS('[1]Исходные данные'!$J$2:$J$606,'[1]Исходные данные'!$D$2:$D$606,"ЦИТС.",'[1]Исходные данные'!$F$2:$F$606,"35.1")</f>
        <v>0</v>
      </c>
      <c r="BZ34" s="11">
        <f>SUMIFS('[1]Исходные данные'!$I$2:$I$606,'[1]Исходные данные'!$D$2:$D$606,"ОБО",'[1]Исходные данные'!$F$2:$F$606,"35.1")</f>
        <v>0</v>
      </c>
      <c r="CA34" s="11">
        <f>SUMIFS('[1]Исходные данные'!$J$2:$J$606,'[1]Исходные данные'!$D$2:$D$606,"ОБО",'[1]Исходные данные'!$F$2:$F$606,"35.1")</f>
        <v>0</v>
      </c>
      <c r="CB34" s="11">
        <f>SUMIFS('[1]Исходные данные'!$I$2:$I$606,'[1]Исходные данные'!$D$2:$D$606,"УЖЭО",'[1]Исходные данные'!$F$2:$F$606,"35.1")</f>
        <v>0</v>
      </c>
      <c r="CC34" s="11">
        <f>SUMIFS('[1]Исходные данные'!$J$2:$J$606,'[1]Исходные данные'!$D$2:$D$606,"УЖЭО",'[1]Исходные данные'!$F$2:$F$606,"35.1")</f>
        <v>0</v>
      </c>
      <c r="CD34" s="11">
        <f>SUMIFS('[1]Исходные данные'!$I$2:$I$606,'[1]Исходные данные'!$D$2:$D$606,"Мухтар/Хамит",'[1]Исходные данные'!$F$2:$F$606,"35.1")</f>
        <v>0</v>
      </c>
      <c r="CE34" s="11">
        <f>SUMIFS('[1]Исходные данные'!$J$2:$J$606,'[1]Исходные данные'!$D$2:$D$606,"Мухтар/Хамит",'[1]Исходные данные'!$F$2:$F$606,"35.1")</f>
        <v>0</v>
      </c>
      <c r="CF34" s="11">
        <f>SUMIFS('[1]Исходные данные'!$I$2:$I$606,'[1]Исходные данные'!$D$2:$D$606,"ОБО-    СБ",'[1]Исходные данные'!$F$2:$F$606,"35.1")</f>
        <v>0</v>
      </c>
      <c r="CG34" s="11">
        <f>SUMIFS('[1]Исходные данные'!$J$2:$J$606,'[1]Исходные данные'!$D$2:$D$606,"ОБО-    СБ",'[1]Исходные данные'!$F$2:$F$606,"35.1")</f>
        <v>0</v>
      </c>
      <c r="CH34" s="11">
        <f>SUMIFS('[1]Исходные данные'!$I$2:$I$606,'[1]Исходные данные'!$D$2:$D$606,"РМУ 2",'[1]Исходные данные'!$F$2:$F$606,"35.1")</f>
        <v>0</v>
      </c>
      <c r="CI34" s="11">
        <f>SUMIFS('[1]Исходные данные'!$J$2:$J$606,'[1]Исходные данные'!$D$2:$D$606,"РМУ 2",'[1]Исходные данные'!$F$2:$F$606,"35.1")</f>
        <v>0</v>
      </c>
      <c r="CJ34" s="11">
        <f>SUMIFS('[1]Исходные данные'!$I$2:$I$606,'[1]Исходные данные'!$D$2:$D$606,"ГАПиИТ",'[1]Исходные данные'!$F$2:$F$606,"35.1")</f>
        <v>0</v>
      </c>
      <c r="CK34" s="11">
        <f>SUMIFS('[1]Исходные данные'!$J$2:$J$606,'[1]Исходные данные'!$D$2:$D$606,"ГАПиИТ",'[1]Исходные данные'!$F$2:$F$606,"35.1")</f>
        <v>0</v>
      </c>
      <c r="CL34" s="11">
        <f>SUMIFS('[1]Исходные данные'!$I$2:$I$606,'[1]Исходные данные'!$D$2:$D$606,"ОМ",'[1]Исходные данные'!$F$2:$F$606,"35.1")</f>
        <v>0</v>
      </c>
      <c r="CM34" s="11">
        <f>SUMIFS('[1]Исходные данные'!$J$2:$J$606,'[1]Исходные данные'!$D$2:$D$606,"ОМ",'[1]Исходные данные'!$F$2:$F$606,"35.1")</f>
        <v>0</v>
      </c>
      <c r="CN34" s="11">
        <f>SUMIFS('[1]Исходные данные'!$I$2:$I$606,'[1]Исходные данные'!$D$2:$D$606,"оппоIR",'[1]Исходные данные'!$F$2:$F$606,"35.1")</f>
        <v>0</v>
      </c>
      <c r="CO34" s="11">
        <f>SUMIFS('[1]Исходные данные'!$J$2:$J$606,'[1]Исходные данные'!$D$2:$D$606,"оппоIR",'[1]Исходные данные'!$F$2:$F$606,"35.1")</f>
        <v>0</v>
      </c>
      <c r="CP34" s="11">
        <f>SUMIFS('[1]Исходные данные'!$I$2:$I$606,'[1]Исходные данные'!$D$2:$D$606,"Маркшейдер",'[1]Исходные данные'!$F$2:$F$606,"35.1")</f>
        <v>0</v>
      </c>
      <c r="CQ34" s="11">
        <f>SUMIFS('[1]Исходные данные'!$J$2:$J$606,'[1]Исходные данные'!$D$2:$D$606,"Маркшейдер",'[1]Исходные данные'!$F$2:$F$606,"35.1")</f>
        <v>0</v>
      </c>
      <c r="CR34" s="11">
        <f>SUMIFS('[1]Исходные данные'!$I$2:$I$606,'[1]Исходные данные'!$D$2:$D$606,"ПСО",'[1]Исходные данные'!$F$2:$F$606,"35.1")</f>
        <v>0</v>
      </c>
      <c r="CS34" s="11">
        <f>SUMIFS('[1]Исходные данные'!$J$2:$J$606,'[1]Исходные данные'!$D$2:$D$606,"ПСО",'[1]Исходные данные'!$F$2:$F$606,"35.1")</f>
        <v>0</v>
      </c>
    </row>
    <row r="35" spans="1:97" x14ac:dyDescent="0.25">
      <c r="A35" s="13" t="s">
        <v>115</v>
      </c>
      <c r="B35" s="11" t="s">
        <v>116</v>
      </c>
      <c r="C35" s="10">
        <f t="shared" si="0"/>
        <v>2</v>
      </c>
      <c r="D35" s="10">
        <f t="shared" si="1"/>
        <v>2</v>
      </c>
      <c r="E35" s="10">
        <f t="shared" si="1"/>
        <v>0</v>
      </c>
      <c r="F35" s="11">
        <f>SUMIFS('[1]Исходные данные'!$I$2:$I$606,'[1]Исходные данные'!$D$2:$D$606,"ЦДН-1",'[1]Исходные данные'!$F$2:$F$606,"52")</f>
        <v>0</v>
      </c>
      <c r="G35" s="11">
        <f>SUMIFS('[1]Исходные данные'!$J$2:$J$606,'[1]Исходные данные'!$D$2:$D$606,"ЦДН-1",'[1]Исходные данные'!$F$2:$F$606,"52")</f>
        <v>0</v>
      </c>
      <c r="H35" s="11">
        <f>SUMIFS('[1]Исходные данные'!$I$2:$I$606,'[1]Исходные данные'!$D$2:$D$606,"ЦДН-2",'[1]Исходные данные'!$F$2:$F$606,"52")</f>
        <v>0</v>
      </c>
      <c r="I35" s="11">
        <f>SUMIFS('[1]Исходные данные'!$J$2:$J$606,'[1]Исходные данные'!$D$2:$D$606,"ЦДН-2",'[1]Исходные данные'!$F$2:$F$606,"52")</f>
        <v>0</v>
      </c>
      <c r="J35" s="11">
        <f>SUMIFS('[1]Исходные данные'!$I$2:$I$606,'[1]Исходные данные'!$D$2:$D$606,"ЦДН-3",'[1]Исходные данные'!$F$2:$F$606,"52")</f>
        <v>0</v>
      </c>
      <c r="K35" s="11">
        <f>SUMIFS('[1]Исходные данные'!$J$2:$J$606,'[1]Исходные данные'!$D$2:$D$606,"ЦДН-3",'[1]Исходные данные'!$F$2:$F$606,"52")</f>
        <v>0</v>
      </c>
      <c r="L35" s="11">
        <f>SUMIFS('[1]Исходные данные'!$I$2:$I$606,'[1]Исходные данные'!$D$2:$D$606,"ЦППН",'[1]Исходные данные'!$F$2:$F$606,"52")</f>
        <v>0</v>
      </c>
      <c r="M35" s="11">
        <f>SUMIFS('[1]Исходные данные'!$J$2:$J$606,'[1]Исходные данные'!$D$2:$D$606,"ЦППН",'[1]Исходные данные'!$F$2:$F$606,"52")</f>
        <v>0</v>
      </c>
      <c r="N35" s="11">
        <f>SUMIFS('[1]Исходные данные'!$I$2:$I$606,'[1]Исходные данные'!$D$2:$D$606,"ЦППД",'[1]Исходные данные'!$F$2:$F$606,"52")</f>
        <v>0</v>
      </c>
      <c r="O35" s="11">
        <f>SUMIFS('[1]Исходные данные'!$J$2:$J$606,'[1]Исходные данные'!$D$2:$D$606,"ЦППД",'[1]Исходные данные'!$F$2:$F$606,"52")</f>
        <v>0</v>
      </c>
      <c r="P35" s="11">
        <f>SUMIFS('[1]Исходные данные'!$I$2:$I$606,'[1]Исходные данные'!$D$2:$D$606,"ЭЦ",'[1]Исходные данные'!$F$2:$F$606,"52")</f>
        <v>0</v>
      </c>
      <c r="Q35" s="11">
        <f>SUMIFS('[1]Исходные данные'!$J$2:$J$606,'[1]Исходные данные'!$D$2:$D$606,"ЭЦ",'[1]Исходные данные'!$F$2:$F$606,"52")</f>
        <v>0</v>
      </c>
      <c r="R35" s="11">
        <f>SUMIFS('[1]Исходные данные'!$I$2:$I$606,'[1]Исходные данные'!$D$2:$D$606,"ОКС",'[1]Исходные данные'!$F$2:$F$606,"52")</f>
        <v>2</v>
      </c>
      <c r="S35" s="11">
        <f>SUMIFS('[1]Исходные данные'!$J$2:$J$606,'[1]Исходные данные'!$D$2:$D$606,"ОКС",'[1]Исходные данные'!$F$2:$F$606,"52")</f>
        <v>0</v>
      </c>
      <c r="T35" s="11">
        <f>SUMIFS('[1]Исходные данные'!$I$2:$I$606,'[1]Исходные данные'!$D$2:$D$606,"РСЦ",'[1]Исходные данные'!$F$2:$F$606,"52")</f>
        <v>0</v>
      </c>
      <c r="U35" s="11">
        <f>SUMIFS('[1]Исходные данные'!$J$2:$J$606,'[1]Исходные данные'!$D$2:$D$606,"РСЦ",'[1]Исходные данные'!$F$2:$F$606,"52")</f>
        <v>0</v>
      </c>
      <c r="V35" s="11">
        <f>SUMIFS('[1]Исходные данные'!$I$2:$I$606,'[1]Исходные данные'!$D$2:$D$606,"ЦИТС",'[1]Исходные данные'!$F$2:$F$606,"52")</f>
        <v>0</v>
      </c>
      <c r="W35" s="11">
        <f>SUMIFS('[1]Исходные данные'!$J$2:$J$606,'[1]Исходные данные'!$D$2:$D$606,"ЦИТС",'[1]Исходные данные'!$F$2:$F$606,"52")</f>
        <v>0</v>
      </c>
      <c r="X35" s="11">
        <f>SUMIFS('[1]Исходные данные'!$I$2:$I$606,'[1]Исходные данные'!$D$2:$D$606,"ПРЦЭО",'[1]Исходные данные'!$F$2:$F$606,"52")</f>
        <v>0</v>
      </c>
      <c r="Y35" s="11">
        <f>SUMIFS('[1]Исходные данные'!$J$2:$J$606,'[1]Исходные данные'!$D$2:$D$606,"ПРЦЭО",'[1]Исходные данные'!$F$2:$F$606,"52")</f>
        <v>0</v>
      </c>
      <c r="Z35" s="11">
        <f>SUMIFS('[1]Исходные данные'!$I$2:$I$606,'[1]Исходные данные'!$D$2:$D$606,"ГЦ",'[1]Исходные данные'!$F$2:$F$606,"52")</f>
        <v>0</v>
      </c>
      <c r="AA35" s="11">
        <f>SUMIFS('[1]Исходные данные'!$J$2:$J$606,'[1]Исходные данные'!$D$2:$D$606,"ГЦ",'[1]Исходные данные'!$F$2:$F$606,"52")</f>
        <v>0</v>
      </c>
      <c r="AB35" s="11">
        <f>SUMIFS('[1]Исходные данные'!$I$2:$I$606,'[1]Исходные данные'!$D$2:$D$606,"ЦПП",'[1]Исходные данные'!$F$2:$F$606,"52")</f>
        <v>0</v>
      </c>
      <c r="AC35" s="11">
        <f>SUMIFS('[1]Исходные данные'!$J$2:$J$606,'[1]Исходные данные'!$D$2:$D$606,"ЦПП",'[1]Исходные данные'!$F$2:$F$606,"52")</f>
        <v>0</v>
      </c>
      <c r="AD35" s="11">
        <f>SUMIFS('[1]Исходные данные'!$I$2:$I$606,'[1]Исходные данные'!$D$2:$D$606,"БМТС",'[1]Исходные данные'!$F$2:$F$606,"52")</f>
        <v>0</v>
      </c>
      <c r="AE35" s="11">
        <f>SUMIFS('[1]Исходные данные'!$J$2:$J$606,'[1]Исходные данные'!$D$2:$D$606,"БМТС",'[1]Исходные данные'!$F$2:$F$606,"52")</f>
        <v>0</v>
      </c>
      <c r="AF35" s="11">
        <f>SUMIFS('[1]Исходные данные'!$I$2:$I$606,'[1]Исходные данные'!$D$2:$D$606,"УБиПКРС-1",'[1]Исходные данные'!$F$2:$F$606,"52")</f>
        <v>0</v>
      </c>
      <c r="AG35" s="11">
        <f>SUMIFS('[1]Исходные данные'!$J$2:$J$606,'[1]Исходные данные'!$D$2:$D$606,"УБиПКРС-1",'[1]Исходные данные'!$F$2:$F$606,"52")</f>
        <v>0</v>
      </c>
      <c r="AH35" s="11">
        <f>SUMIFS('[1]Исходные данные'!$I$2:$I$606,'[1]Исходные данные'!$D$2:$D$606,"УБиПКРС-2",'[1]Исходные данные'!$F$2:$F$606,"52")</f>
        <v>0</v>
      </c>
      <c r="AI35" s="11">
        <f>SUMIFS('[1]Исходные данные'!$J$2:$J$606,'[1]Исходные данные'!$D$2:$D$606,"УБиПКРС-2",'[1]Исходные данные'!$F$2:$F$606,"52")</f>
        <v>0</v>
      </c>
      <c r="AJ35" s="11">
        <f>SUMIFS('[1]Исходные данные'!$I$2:$I$606,'[1]Исходные данные'!$D$2:$D$606,"ДТТ-1",'[1]Исходные данные'!$F$2:$F$606,"52")</f>
        <v>0</v>
      </c>
      <c r="AK35" s="11">
        <f>SUMIFS('[1]Исходные данные'!$J$2:$J$606,'[1]Исходные данные'!$D$2:$D$606,"ДТТ-1",'[1]Исходные данные'!$F$2:$F$606,"52")</f>
        <v>0</v>
      </c>
      <c r="AL35" s="11">
        <f>SUMIFS('[1]Исходные данные'!$I$2:$I$606,'[1]Исходные данные'!$D$2:$D$606,"ЦНИПР",'[1]Исходные данные'!$F$2:$F$606,"52")</f>
        <v>0</v>
      </c>
      <c r="AM35" s="11">
        <f>SUMIFS('[1]Исходные данные'!$J$2:$J$606,'[1]Исходные данные'!$D$2:$D$606,"ЦНИПР",'[1]Исходные данные'!$F$2:$F$606,"52")</f>
        <v>0</v>
      </c>
      <c r="AN35" s="11">
        <f>SUMIFS('[1]Исходные данные'!$I$2:$I$606,'[1]Исходные данные'!$D$2:$D$606,"ОБиПКРС",'[1]Исходные данные'!$F$2:$F$606,"52")</f>
        <v>0</v>
      </c>
      <c r="AO35" s="11">
        <f>SUMIFS('[1]Исходные данные'!$J$2:$J$606,'[1]Исходные данные'!$D$2:$D$606,"ОБиПКРС",'[1]Исходные данные'!$F$2:$F$606,"52")</f>
        <v>0</v>
      </c>
      <c r="AP35" s="11">
        <f>SUMIFS('[1]Исходные данные'!$I$2:$I$606,'[1]Исходные данные'!$D$2:$D$606,"ЦАП",'[1]Исходные данные'!$F$2:$F$606,"52")</f>
        <v>0</v>
      </c>
      <c r="AQ35" s="11">
        <f>SUMIFS('[1]Исходные данные'!$J$2:$J$606,'[1]Исходные данные'!$D$2:$D$606,"ЦАП",'[1]Исходные данные'!$F$2:$F$606,"52")</f>
        <v>0</v>
      </c>
      <c r="AR35" s="11">
        <f>SUMIFS('[1]Исходные данные'!$I$2:$I$606,'[1]Исходные данные'!$D$2:$D$606,"ГООС",'[1]Исходные данные'!$F$2:$F$606,"52")</f>
        <v>0</v>
      </c>
      <c r="AS35" s="11">
        <f>SUMIFS('[1]Исходные данные'!$J$2:$J$606,'[1]Исходные данные'!$D$2:$D$606,"ГООС",'[1]Исходные данные'!$F$2:$F$606,"52")</f>
        <v>0</v>
      </c>
      <c r="AT35" s="11">
        <f>SUMIFS('[1]Исходные данные'!$I$2:$I$606,'[1]Исходные данные'!$D$2:$D$606,"Ақкетік",'[1]Исходные данные'!$F$2:$F$606,"52")</f>
        <v>0</v>
      </c>
      <c r="AU35" s="11">
        <f>SUMIFS('[1]Исходные данные'!$J$2:$J$606,'[1]Исходные данные'!$D$2:$D$606,"Ақкетік",'[1]Исходные данные'!$F$2:$F$606,"52")</f>
        <v>0</v>
      </c>
      <c r="AV35" s="11">
        <f>SUMIFS('[1]Исходные данные'!$I$2:$I$606,'[1]Исходные данные'!$D$2:$D$606,"Нейрон",'[1]Исходные данные'!$F$2:$F$606,"52")</f>
        <v>0</v>
      </c>
      <c r="AW35" s="11">
        <f>SUMIFS('[1]Исходные данные'!$J$2:$J$606,'[1]Исходные данные'!$D$2:$D$606,"Нейрон",'[1]Исходные данные'!$F$2:$F$606,"52")</f>
        <v>0</v>
      </c>
      <c r="AX35" s="11">
        <f>SUMIFS('[1]Исходные данные'!$I$2:$I$606,'[1]Исходные данные'!$D$2:$D$606,"Бурение",'[1]Исходные данные'!$F$2:$F$606,"52")</f>
        <v>0</v>
      </c>
      <c r="AY35" s="11">
        <f>SUMIFS('[1]Исходные данные'!$J$2:$J$606,'[1]Исходные данные'!$D$2:$D$606,"Бурение",'[1]Исходные данные'!$F$2:$F$606,"52")</f>
        <v>0</v>
      </c>
      <c r="AZ35" s="11">
        <f>SUMIFS('[1]Исходные данные'!$I$2:$I$606,'[1]Исходные данные'!$D$2:$D$606,"ЦТВС",'[1]Исходные данные'!$F$2:$F$606,"52")</f>
        <v>0</v>
      </c>
      <c r="BA35" s="11">
        <f>SUMIFS('[1]Исходные данные'!$J$2:$J$606,'[1]Исходные данные'!$D$2:$D$606,"ЦТВС",'[1]Исходные данные'!$F$2:$F$606,"52")</f>
        <v>0</v>
      </c>
      <c r="BB35" s="11">
        <f>SUMIFS('[1]Исходные данные'!$I$2:$I$606,'[1]Исходные данные'!$D$2:$D$606,"ТБ",'[1]Исходные данные'!$F$2:$F$606,"52")</f>
        <v>0</v>
      </c>
      <c r="BC35" s="11">
        <f>SUMIFS('[1]Исходные данные'!$J$2:$J$606,'[1]Исходные данные'!$D$2:$D$606,"ТБ",'[1]Исходные данные'!$F$2:$F$606,"52")</f>
        <v>0</v>
      </c>
      <c r="BD35" s="11">
        <f>SUMIFS('[1]Исходные данные'!$I$2:$I$606,'[1]Исходные данные'!$D$2:$D$606,"ОТДН",'[1]Исходные данные'!$F$2:$F$606,"52")</f>
        <v>0</v>
      </c>
      <c r="BE35" s="11">
        <f>SUMIFS('[1]Исходные данные'!$J$2:$J$606,'[1]Исходные данные'!$D$2:$D$606,"ОТДН",'[1]Исходные данные'!$F$2:$F$606,"52")</f>
        <v>0</v>
      </c>
      <c r="BF35" s="11">
        <f>SUMIFS('[1]Исходные данные'!$I$2:$I$606,'[1]Исходные данные'!$D$2:$D$606,"ПЧ-Семсер",'[1]Исходные данные'!$F$2:$F$606,"52")</f>
        <v>0</v>
      </c>
      <c r="BG35" s="11">
        <f>SUMIFS('[1]Исходные данные'!$J$2:$J$606,'[1]Исходные данные'!$D$2:$D$606,"ПЧ-Семсер",'[1]Исходные данные'!$F$2:$F$606,"52")</f>
        <v>0</v>
      </c>
      <c r="BH35" s="11">
        <f>SUMIFS('[1]Исходные данные'!$I$2:$I$606,'[1]Исходные данные'!$D$2:$D$606,"ПРЦЭО(2)",'[1]Исходные данные'!$F$2:$F$606,"52")</f>
        <v>0</v>
      </c>
      <c r="BI35" s="11">
        <f>SUMIFS('[1]Исходные данные'!$J$2:$J$606,'[1]Исходные данные'!$D$2:$D$606,"ПРЦЭО(2)",'[1]Исходные данные'!$F$2:$F$606,"52")</f>
        <v>0</v>
      </c>
      <c r="BJ35" s="11">
        <f>SUMIFS('[1]Исходные данные'!$I$2:$I$606,'[1]Исходные данные'!$D$2:$D$606,"БД",'[1]Исходные данные'!$F$2:$F$606,"52")</f>
        <v>0</v>
      </c>
      <c r="BK35" s="11">
        <f>SUMIFS('[1]Исходные данные'!$J$2:$J$606,'[1]Исходные данные'!$D$2:$D$606,"БД",'[1]Исходные данные'!$F$2:$F$606,"52")</f>
        <v>0</v>
      </c>
      <c r="BL35" s="11">
        <f>SUMIFS('[1]Исходные данные'!$I$2:$I$606,'[1]Исходные данные'!$D$2:$D$606,"ОГиР",'[1]Исходные данные'!$F$2:$F$606,"52")</f>
        <v>0</v>
      </c>
      <c r="BM35" s="11">
        <f>SUMIFS('[1]Исходные данные'!$J$2:$J$606,'[1]Исходные данные'!$D$2:$D$606,"ОГиР",'[1]Исходные данные'!$F$2:$F$606,"52")</f>
        <v>0</v>
      </c>
      <c r="BN35" s="11">
        <f>SUMIFS('[1]Исходные данные'!$I$2:$I$606,'[1]Исходные данные'!$D$2:$D$606,"ГСРиВК",'[1]Исходные данные'!$F$2:$F$606,"52")</f>
        <v>0</v>
      </c>
      <c r="BO35" s="11">
        <f>SUMIFS('[1]Исходные данные'!$J$2:$J$606,'[1]Исходные данные'!$D$2:$D$606,"ГСРиВК",'[1]Исходные данные'!$F$2:$F$606,"52")</f>
        <v>0</v>
      </c>
      <c r="BP35" s="11">
        <f>SUMIFS('[1]Исходные данные'!$I$2:$I$606,'[1]Исходные данные'!$D$2:$D$606,"МПГУ",'[1]Исходные данные'!$F$2:$F$606,"52")</f>
        <v>0</v>
      </c>
      <c r="BQ35" s="11">
        <f>SUMIFS('[1]Исходные данные'!$J$2:$J$606,'[1]Исходные данные'!$D$2:$D$606,"МПГУ",'[1]Исходные данные'!$F$2:$F$606,"52")</f>
        <v>0</v>
      </c>
      <c r="BR35" s="11">
        <f>SUMIFS('[1]Исходные данные'!$I$2:$I$606,'[1]Исходные данные'!$D$2:$D$606,"БПО 2",'[1]Исходные данные'!$F$2:$F$606,"52")</f>
        <v>0</v>
      </c>
      <c r="BS35" s="11">
        <f>SUMIFS('[1]Исходные данные'!$J$2:$J$606,'[1]Исходные данные'!$D$2:$D$606,"БПО 2",'[1]Исходные данные'!$F$2:$F$606,"52")</f>
        <v>0</v>
      </c>
      <c r="BT35" s="11">
        <f>SUMIFS('[1]Исходные данные'!$I$2:$I$606,'[1]Исходные данные'!$D$2:$D$606,"ЛД",'[1]Исходные данные'!$F$2:$F$606,"52")</f>
        <v>0</v>
      </c>
      <c r="BU35" s="11">
        <f>SUMIFS('[1]Исходные данные'!$J$2:$J$606,'[1]Исходные данные'!$D$2:$D$606,"ЛД",'[1]Исходные данные'!$F$2:$F$606,"52")</f>
        <v>0</v>
      </c>
      <c r="BV35" s="11">
        <f>SUMIFS('[1]Исходные данные'!$I$2:$I$606,'[1]Исходные данные'!$D$2:$D$606,"Отделкадр",'[1]Исходные данные'!$F$2:$F$606,"52")</f>
        <v>0</v>
      </c>
      <c r="BW35" s="11">
        <f>SUMIFS('[1]Исходные данные'!$J$2:$J$606,'[1]Исходные данные'!$D$2:$D$606,"Отделкадр",'[1]Исходные данные'!$F$2:$F$606,"52")</f>
        <v>0</v>
      </c>
      <c r="BX35" s="11">
        <f>SUMIFS('[1]Исходные данные'!$I$2:$I$606,'[1]Исходные данные'!$D$2:$D$606,"ЦИТС.",'[1]Исходные данные'!$F$2:$F$606,"52")</f>
        <v>0</v>
      </c>
      <c r="BY35" s="11">
        <f>SUMIFS('[1]Исходные данные'!$J$2:$J$606,'[1]Исходные данные'!$D$2:$D$606,"ЦИТС.",'[1]Исходные данные'!$F$2:$F$606,"52")</f>
        <v>0</v>
      </c>
      <c r="BZ35" s="11">
        <f>SUMIFS('[1]Исходные данные'!$I$2:$I$606,'[1]Исходные данные'!$D$2:$D$606,"ОБО",'[1]Исходные данные'!$F$2:$F$606,"52")</f>
        <v>0</v>
      </c>
      <c r="CA35" s="11">
        <f>SUMIFS('[1]Исходные данные'!$J$2:$J$606,'[1]Исходные данные'!$D$2:$D$606,"ОБО",'[1]Исходные данные'!$F$2:$F$606,"52")</f>
        <v>0</v>
      </c>
      <c r="CB35" s="11">
        <f>SUMIFS('[1]Исходные данные'!$I$2:$I$606,'[1]Исходные данные'!$D$2:$D$606,"УЖЭО",'[1]Исходные данные'!$F$2:$F$606,"52")</f>
        <v>0</v>
      </c>
      <c r="CC35" s="11">
        <f>SUMIFS('[1]Исходные данные'!$J$2:$J$606,'[1]Исходные данные'!$D$2:$D$606,"УЖЭО",'[1]Исходные данные'!$F$2:$F$606,"52")</f>
        <v>0</v>
      </c>
      <c r="CD35" s="11">
        <f>SUMIFS('[1]Исходные данные'!$I$2:$I$606,'[1]Исходные данные'!$D$2:$D$606,"Мухтар/Хамит",'[1]Исходные данные'!$F$2:$F$606,"52")</f>
        <v>0</v>
      </c>
      <c r="CE35" s="11">
        <f>SUMIFS('[1]Исходные данные'!$J$2:$J$606,'[1]Исходные данные'!$D$2:$D$606,"Мухтар/Хамит",'[1]Исходные данные'!$F$2:$F$606,"52")</f>
        <v>0</v>
      </c>
      <c r="CF35" s="11">
        <f>SUMIFS('[1]Исходные данные'!$I$2:$I$606,'[1]Исходные данные'!$D$2:$D$606,"ОБО-    СБ",'[1]Исходные данные'!$F$2:$F$606,"52")</f>
        <v>0</v>
      </c>
      <c r="CG35" s="11">
        <f>SUMIFS('[1]Исходные данные'!$J$2:$J$606,'[1]Исходные данные'!$D$2:$D$606,"ОБО-    СБ",'[1]Исходные данные'!$F$2:$F$606,"52")</f>
        <v>0</v>
      </c>
      <c r="CH35" s="11">
        <f>SUMIFS('[1]Исходные данные'!$I$2:$I$606,'[1]Исходные данные'!$D$2:$D$606,"РМУ 2",'[1]Исходные данные'!$F$2:$F$606,"52")</f>
        <v>0</v>
      </c>
      <c r="CI35" s="11">
        <f>SUMIFS('[1]Исходные данные'!$J$2:$J$606,'[1]Исходные данные'!$D$2:$D$606,"РМУ 2",'[1]Исходные данные'!$F$2:$F$606,"52")</f>
        <v>0</v>
      </c>
      <c r="CJ35" s="11">
        <f>SUMIFS('[1]Исходные данные'!$I$2:$I$606,'[1]Исходные данные'!$D$2:$D$606,"ГАПиИТ",'[1]Исходные данные'!$F$2:$F$606,"52")</f>
        <v>0</v>
      </c>
      <c r="CK35" s="11">
        <f>SUMIFS('[1]Исходные данные'!$J$2:$J$606,'[1]Исходные данные'!$D$2:$D$606,"ГАПиИТ",'[1]Исходные данные'!$F$2:$F$606,"52")</f>
        <v>0</v>
      </c>
      <c r="CL35" s="11">
        <f>SUMIFS('[1]Исходные данные'!$I$2:$I$606,'[1]Исходные данные'!$D$2:$D$606,"ОМ",'[1]Исходные данные'!$F$2:$F$606,"52")</f>
        <v>0</v>
      </c>
      <c r="CM35" s="11">
        <f>SUMIFS('[1]Исходные данные'!$J$2:$J$606,'[1]Исходные данные'!$D$2:$D$606,"ОМ",'[1]Исходные данные'!$F$2:$F$606,"52")</f>
        <v>0</v>
      </c>
      <c r="CN35" s="11">
        <f>SUMIFS('[1]Исходные данные'!$I$2:$I$606,'[1]Исходные данные'!$D$2:$D$606,"оппоIR",'[1]Исходные данные'!$F$2:$F$606,"52")</f>
        <v>0</v>
      </c>
      <c r="CO35" s="11">
        <f>SUMIFS('[1]Исходные данные'!$J$2:$J$606,'[1]Исходные данные'!$D$2:$D$606,"оппоIR",'[1]Исходные данные'!$F$2:$F$606,"52")</f>
        <v>0</v>
      </c>
      <c r="CP35" s="11">
        <f>SUMIFS('[1]Исходные данные'!$I$2:$I$606,'[1]Исходные данные'!$D$2:$D$606,"Маркшейдер",'[1]Исходные данные'!$F$2:$F$606,"52")</f>
        <v>0</v>
      </c>
      <c r="CQ35" s="11">
        <f>SUMIFS('[1]Исходные данные'!$J$2:$J$606,'[1]Исходные данные'!$D$2:$D$606,"Маркшейдер",'[1]Исходные данные'!$F$2:$F$606,"52")</f>
        <v>0</v>
      </c>
      <c r="CR35" s="11">
        <f>SUMIFS('[1]Исходные данные'!$I$2:$I$606,'[1]Исходные данные'!$D$2:$D$606,"ПСО",'[1]Исходные данные'!$F$2:$F$606,"52")</f>
        <v>0</v>
      </c>
      <c r="CS35" s="11">
        <f>SUMIFS('[1]Исходные данные'!$J$2:$J$606,'[1]Исходные данные'!$D$2:$D$606,"ПСО",'[1]Исходные данные'!$F$2:$F$606,"52")</f>
        <v>0</v>
      </c>
    </row>
    <row r="36" spans="1:97" x14ac:dyDescent="0.25">
      <c r="A36" s="13" t="s">
        <v>117</v>
      </c>
      <c r="B36" s="11" t="s">
        <v>118</v>
      </c>
      <c r="C36" s="10">
        <f t="shared" si="0"/>
        <v>2</v>
      </c>
      <c r="D36" s="10">
        <f t="shared" si="1"/>
        <v>2</v>
      </c>
      <c r="E36" s="10">
        <f t="shared" si="1"/>
        <v>0</v>
      </c>
      <c r="F36" s="11">
        <f>SUMIFS('[1]Исходные данные'!$I$2:$I$606,'[1]Исходные данные'!$D$2:$D$606,"ЦДН-1",'[1]Исходные данные'!$F$2:$F$606,"54")</f>
        <v>0</v>
      </c>
      <c r="G36" s="11">
        <f>SUMIFS('[1]Исходные данные'!$J$2:$J$606,'[1]Исходные данные'!$D$2:$D$606,"ЦДН-1",'[1]Исходные данные'!$F$2:$F$606,"54")</f>
        <v>0</v>
      </c>
      <c r="H36" s="11">
        <f>SUMIFS('[1]Исходные данные'!$I$2:$I$606,'[1]Исходные данные'!$D$2:$D$606,"ЦДН-2",'[1]Исходные данные'!$F$2:$F$606,"54")</f>
        <v>0</v>
      </c>
      <c r="I36" s="11">
        <f>SUMIFS('[1]Исходные данные'!$J$2:$J$606,'[1]Исходные данные'!$D$2:$D$606,"ЦДН-2",'[1]Исходные данные'!$F$2:$F$606,"54")</f>
        <v>0</v>
      </c>
      <c r="J36" s="11">
        <f>SUMIFS('[1]Исходные данные'!$I$2:$I$606,'[1]Исходные данные'!$D$2:$D$606,"ЦДН-3",'[1]Исходные данные'!$F$2:$F$606,"54")</f>
        <v>0</v>
      </c>
      <c r="K36" s="11">
        <f>SUMIFS('[1]Исходные данные'!$J$2:$J$606,'[1]Исходные данные'!$D$2:$D$606,"ЦДН-3",'[1]Исходные данные'!$F$2:$F$606,"54")</f>
        <v>0</v>
      </c>
      <c r="L36" s="11">
        <f>SUMIFS('[1]Исходные данные'!$I$2:$I$606,'[1]Исходные данные'!$D$2:$D$606,"ЦППН",'[1]Исходные данные'!$F$2:$F$606,"54")</f>
        <v>0</v>
      </c>
      <c r="M36" s="11">
        <f>SUMIFS('[1]Исходные данные'!$J$2:$J$606,'[1]Исходные данные'!$D$2:$D$606,"ЦППН",'[1]Исходные данные'!$F$2:$F$606,"54")</f>
        <v>0</v>
      </c>
      <c r="N36" s="11">
        <f>SUMIFS('[1]Исходные данные'!$I$2:$I$606,'[1]Исходные данные'!$D$2:$D$606,"ЦППД",'[1]Исходные данные'!$F$2:$F$606,"54")</f>
        <v>0</v>
      </c>
      <c r="O36" s="11">
        <f>SUMIFS('[1]Исходные данные'!$J$2:$J$606,'[1]Исходные данные'!$D$2:$D$606,"ЦППД",'[1]Исходные данные'!$F$2:$F$606,"54")</f>
        <v>0</v>
      </c>
      <c r="P36" s="11">
        <f>SUMIFS('[1]Исходные данные'!$I$2:$I$606,'[1]Исходные данные'!$D$2:$D$606,"ЭЦ",'[1]Исходные данные'!$F$2:$F$606,"54")</f>
        <v>0</v>
      </c>
      <c r="Q36" s="11">
        <f>SUMIFS('[1]Исходные данные'!$J$2:$J$606,'[1]Исходные данные'!$D$2:$D$606,"ЭЦ",'[1]Исходные данные'!$F$2:$F$606,"54")</f>
        <v>0</v>
      </c>
      <c r="R36" s="11">
        <f>SUMIFS('[1]Исходные данные'!$I$2:$I$606,'[1]Исходные данные'!$D$2:$D$606,"ОКС",'[1]Исходные данные'!$F$2:$F$606,"54")</f>
        <v>0</v>
      </c>
      <c r="S36" s="11">
        <f>SUMIFS('[1]Исходные данные'!$J$2:$J$606,'[1]Исходные данные'!$D$2:$D$606,"ОКС",'[1]Исходные данные'!$F$2:$F$606,"54")</f>
        <v>0</v>
      </c>
      <c r="T36" s="11">
        <f>SUMIFS('[1]Исходные данные'!$I$2:$I$606,'[1]Исходные данные'!$D$2:$D$606,"РСЦ",'[1]Исходные данные'!$F$2:$F$606,"54")</f>
        <v>0</v>
      </c>
      <c r="U36" s="11">
        <f>SUMIFS('[1]Исходные данные'!$J$2:$J$606,'[1]Исходные данные'!$D$2:$D$606,"РСЦ",'[1]Исходные данные'!$F$2:$F$606,"54")</f>
        <v>0</v>
      </c>
      <c r="V36" s="11">
        <f>SUMIFS('[1]Исходные данные'!$I$2:$I$606,'[1]Исходные данные'!$D$2:$D$606,"ЦИТС",'[1]Исходные данные'!$F$2:$F$606,"54")</f>
        <v>0</v>
      </c>
      <c r="W36" s="11">
        <f>SUMIFS('[1]Исходные данные'!$J$2:$J$606,'[1]Исходные данные'!$D$2:$D$606,"ЦИТС",'[1]Исходные данные'!$F$2:$F$606,"54")</f>
        <v>0</v>
      </c>
      <c r="X36" s="11">
        <f>SUMIFS('[1]Исходные данные'!$I$2:$I$606,'[1]Исходные данные'!$D$2:$D$606,"ПРЦЭО",'[1]Исходные данные'!$F$2:$F$606,"54")</f>
        <v>0</v>
      </c>
      <c r="Y36" s="11">
        <f>SUMIFS('[1]Исходные данные'!$J$2:$J$606,'[1]Исходные данные'!$D$2:$D$606,"ПРЦЭО",'[1]Исходные данные'!$F$2:$F$606,"54")</f>
        <v>0</v>
      </c>
      <c r="Z36" s="11">
        <f>SUMIFS('[1]Исходные данные'!$I$2:$I$606,'[1]Исходные данные'!$D$2:$D$606,"ГЦ",'[1]Исходные данные'!$F$2:$F$606,"54")</f>
        <v>0</v>
      </c>
      <c r="AA36" s="11">
        <f>SUMIFS('[1]Исходные данные'!$J$2:$J$606,'[1]Исходные данные'!$D$2:$D$606,"ГЦ",'[1]Исходные данные'!$F$2:$F$606,"54")</f>
        <v>0</v>
      </c>
      <c r="AB36" s="11">
        <f>SUMIFS('[1]Исходные данные'!$I$2:$I$606,'[1]Исходные данные'!$D$2:$D$606,"ЦПП",'[1]Исходные данные'!$F$2:$F$606,"54")</f>
        <v>0</v>
      </c>
      <c r="AC36" s="11">
        <f>SUMIFS('[1]Исходные данные'!$J$2:$J$606,'[1]Исходные данные'!$D$2:$D$606,"ЦПП",'[1]Исходные данные'!$F$2:$F$606,"54")</f>
        <v>0</v>
      </c>
      <c r="AD36" s="11">
        <f>SUMIFS('[1]Исходные данные'!$I$2:$I$606,'[1]Исходные данные'!$D$2:$D$606,"БМТС",'[1]Исходные данные'!$F$2:$F$606,"54")</f>
        <v>1</v>
      </c>
      <c r="AE36" s="11">
        <f>SUMIFS('[1]Исходные данные'!$J$2:$J$606,'[1]Исходные данные'!$D$2:$D$606,"БМТС",'[1]Исходные данные'!$F$2:$F$606,"54")</f>
        <v>0</v>
      </c>
      <c r="AF36" s="11">
        <f>SUMIFS('[1]Исходные данные'!$I$2:$I$606,'[1]Исходные данные'!$D$2:$D$606,"УБиПКРС-1",'[1]Исходные данные'!$F$2:$F$606,"54")</f>
        <v>0</v>
      </c>
      <c r="AG36" s="11">
        <f>SUMIFS('[1]Исходные данные'!$J$2:$J$606,'[1]Исходные данные'!$D$2:$D$606,"УБиПКРС-1",'[1]Исходные данные'!$F$2:$F$606,"54")</f>
        <v>0</v>
      </c>
      <c r="AH36" s="11">
        <f>SUMIFS('[1]Исходные данные'!$I$2:$I$606,'[1]Исходные данные'!$D$2:$D$606,"УБиПКРС-2",'[1]Исходные данные'!$F$2:$F$606,"54")</f>
        <v>0</v>
      </c>
      <c r="AI36" s="11">
        <f>SUMIFS('[1]Исходные данные'!$J$2:$J$606,'[1]Исходные данные'!$D$2:$D$606,"УБиПКРС-2",'[1]Исходные данные'!$F$2:$F$606,"54")</f>
        <v>0</v>
      </c>
      <c r="AJ36" s="11">
        <f>SUMIFS('[1]Исходные данные'!$I$2:$I$606,'[1]Исходные данные'!$D$2:$D$606,"ДТТ-1",'[1]Исходные данные'!$F$2:$F$606,"54")</f>
        <v>1</v>
      </c>
      <c r="AK36" s="11">
        <f>SUMIFS('[1]Исходные данные'!$J$2:$J$606,'[1]Исходные данные'!$D$2:$D$606,"ДТТ-1",'[1]Исходные данные'!$F$2:$F$606,"54")</f>
        <v>0</v>
      </c>
      <c r="AL36" s="11">
        <f>SUMIFS('[1]Исходные данные'!$I$2:$I$606,'[1]Исходные данные'!$D$2:$D$606,"ЦНИПР",'[1]Исходные данные'!$F$2:$F$606,"54")</f>
        <v>0</v>
      </c>
      <c r="AM36" s="11">
        <f>SUMIFS('[1]Исходные данные'!$J$2:$J$606,'[1]Исходные данные'!$D$2:$D$606,"ЦНИПР",'[1]Исходные данные'!$F$2:$F$606,"54")</f>
        <v>0</v>
      </c>
      <c r="AN36" s="11">
        <f>SUMIFS('[1]Исходные данные'!$I$2:$I$606,'[1]Исходные данные'!$D$2:$D$606,"ОБиПКРС",'[1]Исходные данные'!$F$2:$F$606,"54")</f>
        <v>0</v>
      </c>
      <c r="AO36" s="11">
        <f>SUMIFS('[1]Исходные данные'!$J$2:$J$606,'[1]Исходные данные'!$D$2:$D$606,"ОБиПКРС",'[1]Исходные данные'!$F$2:$F$606,"54")</f>
        <v>0</v>
      </c>
      <c r="AP36" s="11">
        <f>SUMIFS('[1]Исходные данные'!$I$2:$I$606,'[1]Исходные данные'!$D$2:$D$606,"ЦАП",'[1]Исходные данные'!$F$2:$F$606,"54")</f>
        <v>0</v>
      </c>
      <c r="AQ36" s="11">
        <f>SUMIFS('[1]Исходные данные'!$J$2:$J$606,'[1]Исходные данные'!$D$2:$D$606,"ЦАП",'[1]Исходные данные'!$F$2:$F$606,"54")</f>
        <v>0</v>
      </c>
      <c r="AR36" s="11">
        <f>SUMIFS('[1]Исходные данные'!$I$2:$I$606,'[1]Исходные данные'!$D$2:$D$606,"ГООС",'[1]Исходные данные'!$F$2:$F$606,"54")</f>
        <v>0</v>
      </c>
      <c r="AS36" s="11">
        <f>SUMIFS('[1]Исходные данные'!$J$2:$J$606,'[1]Исходные данные'!$D$2:$D$606,"ГООС",'[1]Исходные данные'!$F$2:$F$606,"54")</f>
        <v>0</v>
      </c>
      <c r="AT36" s="11">
        <f>SUMIFS('[1]Исходные данные'!$I$2:$I$606,'[1]Исходные данные'!$D$2:$D$606,"Ақкетік",'[1]Исходные данные'!$F$2:$F$606,"54")</f>
        <v>0</v>
      </c>
      <c r="AU36" s="11">
        <f>SUMIFS('[1]Исходные данные'!$J$2:$J$606,'[1]Исходные данные'!$D$2:$D$606,"Ақкетік",'[1]Исходные данные'!$F$2:$F$606,"54")</f>
        <v>0</v>
      </c>
      <c r="AV36" s="11">
        <f>SUMIFS('[1]Исходные данные'!$I$2:$I$606,'[1]Исходные данные'!$D$2:$D$606,"Нейрон",'[1]Исходные данные'!$F$2:$F$606,"54")</f>
        <v>0</v>
      </c>
      <c r="AW36" s="11">
        <f>SUMIFS('[1]Исходные данные'!$J$2:$J$606,'[1]Исходные данные'!$D$2:$D$606,"Нейрон",'[1]Исходные данные'!$F$2:$F$606,"54")</f>
        <v>0</v>
      </c>
      <c r="AX36" s="11">
        <f>SUMIFS('[1]Исходные данные'!$I$2:$I$606,'[1]Исходные данные'!$D$2:$D$606,"Бурение",'[1]Исходные данные'!$F$2:$F$606,"54")</f>
        <v>0</v>
      </c>
      <c r="AY36" s="11">
        <f>SUMIFS('[1]Исходные данные'!$J$2:$J$606,'[1]Исходные данные'!$D$2:$D$606,"Бурение",'[1]Исходные данные'!$F$2:$F$606,"54")</f>
        <v>0</v>
      </c>
      <c r="AZ36" s="11">
        <f>SUMIFS('[1]Исходные данные'!$I$2:$I$606,'[1]Исходные данные'!$D$2:$D$606,"ЦТВС",'[1]Исходные данные'!$F$2:$F$606,"54")</f>
        <v>0</v>
      </c>
      <c r="BA36" s="11">
        <f>SUMIFS('[1]Исходные данные'!$J$2:$J$606,'[1]Исходные данные'!$D$2:$D$606,"ЦТВС",'[1]Исходные данные'!$F$2:$F$606,"54")</f>
        <v>0</v>
      </c>
      <c r="BB36" s="11">
        <f>SUMIFS('[1]Исходные данные'!$I$2:$I$606,'[1]Исходные данные'!$D$2:$D$606,"ТБ",'[1]Исходные данные'!$F$2:$F$606,"54")</f>
        <v>0</v>
      </c>
      <c r="BC36" s="11">
        <f>SUMIFS('[1]Исходные данные'!$J$2:$J$606,'[1]Исходные данные'!$D$2:$D$606,"ТБ",'[1]Исходные данные'!$F$2:$F$606,"54")</f>
        <v>0</v>
      </c>
      <c r="BD36" s="11">
        <f>SUMIFS('[1]Исходные данные'!$I$2:$I$606,'[1]Исходные данные'!$D$2:$D$606,"ОТДН",'[1]Исходные данные'!$F$2:$F$606,"54")</f>
        <v>0</v>
      </c>
      <c r="BE36" s="11">
        <f>SUMIFS('[1]Исходные данные'!$J$2:$J$606,'[1]Исходные данные'!$D$2:$D$606,"ОТДН",'[1]Исходные данные'!$F$2:$F$606,"54")</f>
        <v>0</v>
      </c>
      <c r="BF36" s="11">
        <f>SUMIFS('[1]Исходные данные'!$I$2:$I$606,'[1]Исходные данные'!$D$2:$D$606,"ПЧ-Семсер",'[1]Исходные данные'!$F$2:$F$606,"54")</f>
        <v>0</v>
      </c>
      <c r="BG36" s="11">
        <f>SUMIFS('[1]Исходные данные'!$J$2:$J$606,'[1]Исходные данные'!$D$2:$D$606,"ПЧ-Семсер",'[1]Исходные данные'!$F$2:$F$606,"54")</f>
        <v>0</v>
      </c>
      <c r="BH36" s="11">
        <f>SUMIFS('[1]Исходные данные'!$I$2:$I$606,'[1]Исходные данные'!$D$2:$D$606,"ПРЦЭО(2)",'[1]Исходные данные'!$F$2:$F$606,"54")</f>
        <v>0</v>
      </c>
      <c r="BI36" s="11">
        <f>SUMIFS('[1]Исходные данные'!$J$2:$J$606,'[1]Исходные данные'!$D$2:$D$606,"ПРЦЭО(2)",'[1]Исходные данные'!$F$2:$F$606,"54")</f>
        <v>0</v>
      </c>
      <c r="BJ36" s="11">
        <f>SUMIFS('[1]Исходные данные'!$I$2:$I$606,'[1]Исходные данные'!$D$2:$D$606,"БД",'[1]Исходные данные'!$F$2:$F$606,"54")</f>
        <v>0</v>
      </c>
      <c r="BK36" s="11">
        <f>SUMIFS('[1]Исходные данные'!$J$2:$J$606,'[1]Исходные данные'!$D$2:$D$606,"БД",'[1]Исходные данные'!$F$2:$F$606,"54")</f>
        <v>0</v>
      </c>
      <c r="BL36" s="11">
        <f>SUMIFS('[1]Исходные данные'!$I$2:$I$606,'[1]Исходные данные'!$D$2:$D$606,"ОГиР",'[1]Исходные данные'!$F$2:$F$606,"54")</f>
        <v>0</v>
      </c>
      <c r="BM36" s="11">
        <f>SUMIFS('[1]Исходные данные'!$J$2:$J$606,'[1]Исходные данные'!$D$2:$D$606,"ОГиР",'[1]Исходные данные'!$F$2:$F$606,"54")</f>
        <v>0</v>
      </c>
      <c r="BN36" s="11">
        <f>SUMIFS('[1]Исходные данные'!$I$2:$I$606,'[1]Исходные данные'!$D$2:$D$606,"ГСРиВК",'[1]Исходные данные'!$F$2:$F$606,"54")</f>
        <v>0</v>
      </c>
      <c r="BO36" s="11">
        <f>SUMIFS('[1]Исходные данные'!$J$2:$J$606,'[1]Исходные данные'!$D$2:$D$606,"ГСРиВК",'[1]Исходные данные'!$F$2:$F$606,"54")</f>
        <v>0</v>
      </c>
      <c r="BP36" s="11">
        <f>SUMIFS('[1]Исходные данные'!$I$2:$I$606,'[1]Исходные данные'!$D$2:$D$606,"МПГУ",'[1]Исходные данные'!$F$2:$F$606,"54")</f>
        <v>0</v>
      </c>
      <c r="BQ36" s="11">
        <f>SUMIFS('[1]Исходные данные'!$J$2:$J$606,'[1]Исходные данные'!$D$2:$D$606,"МПГУ",'[1]Исходные данные'!$F$2:$F$606,"54")</f>
        <v>0</v>
      </c>
      <c r="BR36" s="11">
        <f>SUMIFS('[1]Исходные данные'!$I$2:$I$606,'[1]Исходные данные'!$D$2:$D$606,"БПО 2",'[1]Исходные данные'!$F$2:$F$606,"54")</f>
        <v>0</v>
      </c>
      <c r="BS36" s="11">
        <f>SUMIFS('[1]Исходные данные'!$J$2:$J$606,'[1]Исходные данные'!$D$2:$D$606,"БПО 2",'[1]Исходные данные'!$F$2:$F$606,"54")</f>
        <v>0</v>
      </c>
      <c r="BT36" s="11">
        <f>SUMIFS('[1]Исходные данные'!$I$2:$I$606,'[1]Исходные данные'!$D$2:$D$606,"ЛД",'[1]Исходные данные'!$F$2:$F$606,"54")</f>
        <v>0</v>
      </c>
      <c r="BU36" s="11">
        <f>SUMIFS('[1]Исходные данные'!$J$2:$J$606,'[1]Исходные данные'!$D$2:$D$606,"ЛД",'[1]Исходные данные'!$F$2:$F$606,"54")</f>
        <v>0</v>
      </c>
      <c r="BV36" s="11">
        <f>SUMIFS('[1]Исходные данные'!$I$2:$I$606,'[1]Исходные данные'!$D$2:$D$606,"Отделкадр",'[1]Исходные данные'!$F$2:$F$606,"54")</f>
        <v>0</v>
      </c>
      <c r="BW36" s="11">
        <f>SUMIFS('[1]Исходные данные'!$J$2:$J$606,'[1]Исходные данные'!$D$2:$D$606,"Отделкадр",'[1]Исходные данные'!$F$2:$F$606,"54")</f>
        <v>0</v>
      </c>
      <c r="BX36" s="11">
        <f>SUMIFS('[1]Исходные данные'!$I$2:$I$606,'[1]Исходные данные'!$D$2:$D$606,"ЦИТС.",'[1]Исходные данные'!$F$2:$F$606,"54")</f>
        <v>0</v>
      </c>
      <c r="BY36" s="11">
        <f>SUMIFS('[1]Исходные данные'!$J$2:$J$606,'[1]Исходные данные'!$D$2:$D$606,"ЦИТС.",'[1]Исходные данные'!$F$2:$F$606,"54")</f>
        <v>0</v>
      </c>
      <c r="BZ36" s="11">
        <f>SUMIFS('[1]Исходные данные'!$I$2:$I$606,'[1]Исходные данные'!$D$2:$D$606,"ОБО",'[1]Исходные данные'!$F$2:$F$606,"54")</f>
        <v>0</v>
      </c>
      <c r="CA36" s="11">
        <f>SUMIFS('[1]Исходные данные'!$J$2:$J$606,'[1]Исходные данные'!$D$2:$D$606,"ОБО",'[1]Исходные данные'!$F$2:$F$606,"54")</f>
        <v>0</v>
      </c>
      <c r="CB36" s="11">
        <f>SUMIFS('[1]Исходные данные'!$I$2:$I$606,'[1]Исходные данные'!$D$2:$D$606,"УЖЭО",'[1]Исходные данные'!$F$2:$F$606,"54")</f>
        <v>0</v>
      </c>
      <c r="CC36" s="11">
        <f>SUMIFS('[1]Исходные данные'!$J$2:$J$606,'[1]Исходные данные'!$D$2:$D$606,"УЖЭО",'[1]Исходные данные'!$F$2:$F$606,"54")</f>
        <v>0</v>
      </c>
      <c r="CD36" s="11">
        <f>SUMIFS('[1]Исходные данные'!$I$2:$I$606,'[1]Исходные данные'!$D$2:$D$606,"Мухтар/Хамит",'[1]Исходные данные'!$F$2:$F$606,"54")</f>
        <v>0</v>
      </c>
      <c r="CE36" s="11">
        <f>SUMIFS('[1]Исходные данные'!$J$2:$J$606,'[1]Исходные данные'!$D$2:$D$606,"Мухтар/Хамит",'[1]Исходные данные'!$F$2:$F$606,"54")</f>
        <v>0</v>
      </c>
      <c r="CF36" s="11">
        <f>SUMIFS('[1]Исходные данные'!$I$2:$I$606,'[1]Исходные данные'!$D$2:$D$606,"ОБО-    СБ",'[1]Исходные данные'!$F$2:$F$606,"54")</f>
        <v>0</v>
      </c>
      <c r="CG36" s="11">
        <f>SUMIFS('[1]Исходные данные'!$J$2:$J$606,'[1]Исходные данные'!$D$2:$D$606,"ОБО-    СБ",'[1]Исходные данные'!$F$2:$F$606,"54")</f>
        <v>0</v>
      </c>
      <c r="CH36" s="11">
        <f>SUMIFS('[1]Исходные данные'!$I$2:$I$606,'[1]Исходные данные'!$D$2:$D$606,"РМУ 2",'[1]Исходные данные'!$F$2:$F$606,"54")</f>
        <v>0</v>
      </c>
      <c r="CI36" s="11">
        <f>SUMIFS('[1]Исходные данные'!$J$2:$J$606,'[1]Исходные данные'!$D$2:$D$606,"РМУ 2",'[1]Исходные данные'!$F$2:$F$606,"54")</f>
        <v>0</v>
      </c>
      <c r="CJ36" s="11">
        <f>SUMIFS('[1]Исходные данные'!$I$2:$I$606,'[1]Исходные данные'!$D$2:$D$606,"ГАПиИТ",'[1]Исходные данные'!$F$2:$F$606,"54")</f>
        <v>0</v>
      </c>
      <c r="CK36" s="11">
        <f>SUMIFS('[1]Исходные данные'!$J$2:$J$606,'[1]Исходные данные'!$D$2:$D$606,"ГАПиИТ",'[1]Исходные данные'!$F$2:$F$606,"54")</f>
        <v>0</v>
      </c>
      <c r="CL36" s="11">
        <f>SUMIFS('[1]Исходные данные'!$I$2:$I$606,'[1]Исходные данные'!$D$2:$D$606,"ОМ",'[1]Исходные данные'!$F$2:$F$606,"54")</f>
        <v>0</v>
      </c>
      <c r="CM36" s="11">
        <f>SUMIFS('[1]Исходные данные'!$J$2:$J$606,'[1]Исходные данные'!$D$2:$D$606,"ОМ",'[1]Исходные данные'!$F$2:$F$606,"54")</f>
        <v>0</v>
      </c>
      <c r="CN36" s="11">
        <f>SUMIFS('[1]Исходные данные'!$I$2:$I$606,'[1]Исходные данные'!$D$2:$D$606,"оппоIR",'[1]Исходные данные'!$F$2:$F$606,"54")</f>
        <v>0</v>
      </c>
      <c r="CO36" s="11">
        <f>SUMIFS('[1]Исходные данные'!$J$2:$J$606,'[1]Исходные данные'!$D$2:$D$606,"оппоIR",'[1]Исходные данные'!$F$2:$F$606,"54")</f>
        <v>0</v>
      </c>
      <c r="CP36" s="11">
        <f>SUMIFS('[1]Исходные данные'!$I$2:$I$606,'[1]Исходные данные'!$D$2:$D$606,"Маркшейдер",'[1]Исходные данные'!$F$2:$F$606,"54")</f>
        <v>0</v>
      </c>
      <c r="CQ36" s="11">
        <f>SUMIFS('[1]Исходные данные'!$J$2:$J$606,'[1]Исходные данные'!$D$2:$D$606,"Маркшейдер",'[1]Исходные данные'!$F$2:$F$606,"54")</f>
        <v>0</v>
      </c>
      <c r="CR36" s="11">
        <f>SUMIFS('[1]Исходные данные'!$I$2:$I$606,'[1]Исходные данные'!$D$2:$D$606,"ПСО",'[1]Исходные данные'!$F$2:$F$606,"54")</f>
        <v>0</v>
      </c>
      <c r="CS36" s="11">
        <f>SUMIFS('[1]Исходные данные'!$J$2:$J$606,'[1]Исходные данные'!$D$2:$D$606,"ПСО",'[1]Исходные данные'!$F$2:$F$606,"54")</f>
        <v>0</v>
      </c>
    </row>
    <row r="37" spans="1:97" x14ac:dyDescent="0.25">
      <c r="A37" s="13" t="s">
        <v>119</v>
      </c>
      <c r="B37" s="11" t="s">
        <v>120</v>
      </c>
      <c r="C37" s="10">
        <f t="shared" si="0"/>
        <v>2</v>
      </c>
      <c r="D37" s="10">
        <f t="shared" si="1"/>
        <v>1</v>
      </c>
      <c r="E37" s="10">
        <f t="shared" si="1"/>
        <v>1</v>
      </c>
      <c r="F37" s="11">
        <f>SUMIFS('[1]Исходные данные'!$I$2:$I$606,'[1]Исходные данные'!$D$2:$D$606,"ЦДН-1",'[1]Исходные данные'!$F$2:$F$606,"36")</f>
        <v>0</v>
      </c>
      <c r="G37" s="11">
        <f>SUMIFS('[1]Исходные данные'!$J$2:$J$606,'[1]Исходные данные'!$D$2:$D$606,"ЦДН-1",'[1]Исходные данные'!$F$2:$F$606,"36")</f>
        <v>0</v>
      </c>
      <c r="H37" s="11">
        <f>SUMIFS('[1]Исходные данные'!$I$2:$I$606,'[1]Исходные данные'!$D$2:$D$606,"ЦДН-2",'[1]Исходные данные'!$F$2:$F$606,"36")</f>
        <v>0</v>
      </c>
      <c r="I37" s="11">
        <f>SUMIFS('[1]Исходные данные'!$J$2:$J$606,'[1]Исходные данные'!$D$2:$D$606,"ЦДН-2",'[1]Исходные данные'!$F$2:$F$606,"36")</f>
        <v>0</v>
      </c>
      <c r="J37" s="11">
        <f>SUMIFS('[1]Исходные данные'!$I$2:$I$606,'[1]Исходные данные'!$D$2:$D$606,"ЦДН-3",'[1]Исходные данные'!$F$2:$F$606,"36")</f>
        <v>0</v>
      </c>
      <c r="K37" s="11">
        <f>SUMIFS('[1]Исходные данные'!$J$2:$J$606,'[1]Исходные данные'!$D$2:$D$606,"ЦДН-3",'[1]Исходные данные'!$F$2:$F$606,"36")</f>
        <v>0</v>
      </c>
      <c r="L37" s="11">
        <f>SUMIFS('[1]Исходные данные'!$I$2:$I$606,'[1]Исходные данные'!$D$2:$D$606,"ЦППН",'[1]Исходные данные'!$F$2:$F$606,"36")</f>
        <v>0</v>
      </c>
      <c r="M37" s="11">
        <f>SUMIFS('[1]Исходные данные'!$J$2:$J$606,'[1]Исходные данные'!$D$2:$D$606,"ЦППН",'[1]Исходные данные'!$F$2:$F$606,"36")</f>
        <v>0</v>
      </c>
      <c r="N37" s="11">
        <f>SUMIFS('[1]Исходные данные'!$I$2:$I$606,'[1]Исходные данные'!$D$2:$D$606,"ЦППД",'[1]Исходные данные'!$F$2:$F$606,"36")</f>
        <v>0</v>
      </c>
      <c r="O37" s="11">
        <f>SUMIFS('[1]Исходные данные'!$J$2:$J$606,'[1]Исходные данные'!$D$2:$D$606,"ЦППД",'[1]Исходные данные'!$F$2:$F$606,"36")</f>
        <v>0</v>
      </c>
      <c r="P37" s="11">
        <f>SUMIFS('[1]Исходные данные'!$I$2:$I$606,'[1]Исходные данные'!$D$2:$D$606,"ЭЦ",'[1]Исходные данные'!$F$2:$F$606,"36")</f>
        <v>0</v>
      </c>
      <c r="Q37" s="11">
        <f>SUMIFS('[1]Исходные данные'!$J$2:$J$606,'[1]Исходные данные'!$D$2:$D$606,"ЭЦ",'[1]Исходные данные'!$F$2:$F$606,"36")</f>
        <v>0</v>
      </c>
      <c r="R37" s="11">
        <f>SUMIFS('[1]Исходные данные'!$I$2:$I$606,'[1]Исходные данные'!$D$2:$D$606,"ОКС",'[1]Исходные данные'!$F$2:$F$606,"36")</f>
        <v>0</v>
      </c>
      <c r="S37" s="11">
        <f>SUMIFS('[1]Исходные данные'!$J$2:$J$606,'[1]Исходные данные'!$D$2:$D$606,"ОКС",'[1]Исходные данные'!$F$2:$F$606,"36")</f>
        <v>0</v>
      </c>
      <c r="T37" s="11">
        <f>SUMIFS('[1]Исходные данные'!$I$2:$I$606,'[1]Исходные данные'!$D$2:$D$606,"РСЦ",'[1]Исходные данные'!$F$2:$F$606,"36")</f>
        <v>0</v>
      </c>
      <c r="U37" s="11">
        <f>SUMIFS('[1]Исходные данные'!$J$2:$J$606,'[1]Исходные данные'!$D$2:$D$606,"РСЦ",'[1]Исходные данные'!$F$2:$F$606,"36")</f>
        <v>0</v>
      </c>
      <c r="V37" s="11">
        <f>SUMIFS('[1]Исходные данные'!$I$2:$I$606,'[1]Исходные данные'!$D$2:$D$606,"ЦИТС",'[1]Исходные данные'!$F$2:$F$606,"36")</f>
        <v>0</v>
      </c>
      <c r="W37" s="11">
        <f>SUMIFS('[1]Исходные данные'!$J$2:$J$606,'[1]Исходные данные'!$D$2:$D$606,"ЦИТС",'[1]Исходные данные'!$F$2:$F$606,"36")</f>
        <v>0</v>
      </c>
      <c r="X37" s="11">
        <f>SUMIFS('[1]Исходные данные'!$I$2:$I$606,'[1]Исходные данные'!$D$2:$D$606,"ПРЦЭО",'[1]Исходные данные'!$F$2:$F$606,"36")</f>
        <v>0</v>
      </c>
      <c r="Y37" s="11">
        <f>SUMIFS('[1]Исходные данные'!$J$2:$J$606,'[1]Исходные данные'!$D$2:$D$606,"ПРЦЭО",'[1]Исходные данные'!$F$2:$F$606,"36")</f>
        <v>0</v>
      </c>
      <c r="Z37" s="11">
        <f>SUMIFS('[1]Исходные данные'!$I$2:$I$606,'[1]Исходные данные'!$D$2:$D$606,"ГЦ",'[1]Исходные данные'!$F$2:$F$606,"36")</f>
        <v>0</v>
      </c>
      <c r="AA37" s="11">
        <f>SUMIFS('[1]Исходные данные'!$J$2:$J$606,'[1]Исходные данные'!$D$2:$D$606,"ГЦ",'[1]Исходные данные'!$F$2:$F$606,"36")</f>
        <v>0</v>
      </c>
      <c r="AB37" s="11">
        <f>SUMIFS('[1]Исходные данные'!$I$2:$I$606,'[1]Исходные данные'!$D$2:$D$606,"ЦПП",'[1]Исходные данные'!$F$2:$F$606,"36")</f>
        <v>0</v>
      </c>
      <c r="AC37" s="11">
        <f>SUMIFS('[1]Исходные данные'!$J$2:$J$606,'[1]Исходные данные'!$D$2:$D$606,"ЦПП",'[1]Исходные данные'!$F$2:$F$606,"36")</f>
        <v>0</v>
      </c>
      <c r="AD37" s="11">
        <f>SUMIFS('[1]Исходные данные'!$I$2:$I$606,'[1]Исходные данные'!$D$2:$D$606,"БМТС",'[1]Исходные данные'!$F$2:$F$606,"36")</f>
        <v>0</v>
      </c>
      <c r="AE37" s="11">
        <f>SUMIFS('[1]Исходные данные'!$J$2:$J$606,'[1]Исходные данные'!$D$2:$D$606,"БМТС",'[1]Исходные данные'!$F$2:$F$606,"36")</f>
        <v>0</v>
      </c>
      <c r="AF37" s="11">
        <f>SUMIFS('[1]Исходные данные'!$I$2:$I$606,'[1]Исходные данные'!$D$2:$D$606,"УБиПКРС-1",'[1]Исходные данные'!$F$2:$F$606,"36")</f>
        <v>0</v>
      </c>
      <c r="AG37" s="11">
        <f>SUMIFS('[1]Исходные данные'!$J$2:$J$606,'[1]Исходные данные'!$D$2:$D$606,"УБиПКРС-1",'[1]Исходные данные'!$F$2:$F$606,"36")</f>
        <v>0</v>
      </c>
      <c r="AH37" s="11">
        <f>SUMIFS('[1]Исходные данные'!$I$2:$I$606,'[1]Исходные данные'!$D$2:$D$606,"УБиПКРС-2",'[1]Исходные данные'!$F$2:$F$606,"36")</f>
        <v>0</v>
      </c>
      <c r="AI37" s="11">
        <f>SUMIFS('[1]Исходные данные'!$J$2:$J$606,'[1]Исходные данные'!$D$2:$D$606,"УБиПКРС-2",'[1]Исходные данные'!$F$2:$F$606,"36")</f>
        <v>0</v>
      </c>
      <c r="AJ37" s="11">
        <f>SUMIFS('[1]Исходные данные'!$I$2:$I$606,'[1]Исходные данные'!$D$2:$D$606,"ДТТ-1",'[1]Исходные данные'!$F$2:$F$606,"36")</f>
        <v>0</v>
      </c>
      <c r="AK37" s="11">
        <f>SUMIFS('[1]Исходные данные'!$J$2:$J$606,'[1]Исходные данные'!$D$2:$D$606,"ДТТ-1",'[1]Исходные данные'!$F$2:$F$606,"36")</f>
        <v>0</v>
      </c>
      <c r="AL37" s="11">
        <f>SUMIFS('[1]Исходные данные'!$I$2:$I$606,'[1]Исходные данные'!$D$2:$D$606,"ЦНИПР",'[1]Исходные данные'!$F$2:$F$606,"36")</f>
        <v>0</v>
      </c>
      <c r="AM37" s="11">
        <f>SUMIFS('[1]Исходные данные'!$J$2:$J$606,'[1]Исходные данные'!$D$2:$D$606,"ЦНИПР",'[1]Исходные данные'!$F$2:$F$606,"36")</f>
        <v>0</v>
      </c>
      <c r="AN37" s="11">
        <f>SUMIFS('[1]Исходные данные'!$I$2:$I$606,'[1]Исходные данные'!$D$2:$D$606,"ОБиПКРС",'[1]Исходные данные'!$F$2:$F$606,"36")</f>
        <v>0</v>
      </c>
      <c r="AO37" s="11">
        <f>SUMIFS('[1]Исходные данные'!$J$2:$J$606,'[1]Исходные данные'!$D$2:$D$606,"ОБиПКРС",'[1]Исходные данные'!$F$2:$F$606,"36")</f>
        <v>0</v>
      </c>
      <c r="AP37" s="11">
        <f>SUMIFS('[1]Исходные данные'!$I$2:$I$606,'[1]Исходные данные'!$D$2:$D$606,"ЦАП",'[1]Исходные данные'!$F$2:$F$606,"36")</f>
        <v>0</v>
      </c>
      <c r="AQ37" s="11">
        <f>SUMIFS('[1]Исходные данные'!$J$2:$J$606,'[1]Исходные данные'!$D$2:$D$606,"ЦАП",'[1]Исходные данные'!$F$2:$F$606,"36")</f>
        <v>0</v>
      </c>
      <c r="AR37" s="11">
        <f>SUMIFS('[1]Исходные данные'!$I$2:$I$606,'[1]Исходные данные'!$D$2:$D$606,"ГООС",'[1]Исходные данные'!$F$2:$F$606,"36")</f>
        <v>0</v>
      </c>
      <c r="AS37" s="11">
        <f>SUMIFS('[1]Исходные данные'!$J$2:$J$606,'[1]Исходные данные'!$D$2:$D$606,"ГООС",'[1]Исходные данные'!$F$2:$F$606,"36")</f>
        <v>0</v>
      </c>
      <c r="AT37" s="11">
        <f>SUMIFS('[1]Исходные данные'!$I$2:$I$606,'[1]Исходные данные'!$D$2:$D$606,"Ақкетік",'[1]Исходные данные'!$F$2:$F$606,"36")</f>
        <v>0</v>
      </c>
      <c r="AU37" s="11">
        <f>SUMIFS('[1]Исходные данные'!$J$2:$J$606,'[1]Исходные данные'!$D$2:$D$606,"Ақкетік",'[1]Исходные данные'!$F$2:$F$606,"36")</f>
        <v>0</v>
      </c>
      <c r="AV37" s="11">
        <f>SUMIFS('[1]Исходные данные'!$I$2:$I$606,'[1]Исходные данные'!$D$2:$D$606,"Нейрон",'[1]Исходные данные'!$F$2:$F$606,"36")</f>
        <v>0</v>
      </c>
      <c r="AW37" s="11">
        <f>SUMIFS('[1]Исходные данные'!$J$2:$J$606,'[1]Исходные данные'!$D$2:$D$606,"Нейрон",'[1]Исходные данные'!$F$2:$F$606,"36")</f>
        <v>0</v>
      </c>
      <c r="AX37" s="11">
        <f>SUMIFS('[1]Исходные данные'!$I$2:$I$606,'[1]Исходные данные'!$D$2:$D$606,"Бурение",'[1]Исходные данные'!$F$2:$F$606,"36")</f>
        <v>0</v>
      </c>
      <c r="AY37" s="11">
        <f>SUMIFS('[1]Исходные данные'!$J$2:$J$606,'[1]Исходные данные'!$D$2:$D$606,"Бурение",'[1]Исходные данные'!$F$2:$F$606,"36")</f>
        <v>0</v>
      </c>
      <c r="AZ37" s="11">
        <f>SUMIFS('[1]Исходные данные'!$I$2:$I$606,'[1]Исходные данные'!$D$2:$D$606,"ЦТВС",'[1]Исходные данные'!$F$2:$F$606,"36")</f>
        <v>0</v>
      </c>
      <c r="BA37" s="11">
        <f>SUMIFS('[1]Исходные данные'!$J$2:$J$606,'[1]Исходные данные'!$D$2:$D$606,"ЦТВС",'[1]Исходные данные'!$F$2:$F$606,"36")</f>
        <v>0</v>
      </c>
      <c r="BB37" s="11">
        <f>SUMIFS('[1]Исходные данные'!$I$2:$I$606,'[1]Исходные данные'!$D$2:$D$606,"ТБ",'[1]Исходные данные'!$F$2:$F$606,"36")</f>
        <v>0</v>
      </c>
      <c r="BC37" s="11">
        <f>SUMIFS('[1]Исходные данные'!$J$2:$J$606,'[1]Исходные данные'!$D$2:$D$606,"ТБ",'[1]Исходные данные'!$F$2:$F$606,"36")</f>
        <v>0</v>
      </c>
      <c r="BD37" s="11">
        <f>SUMIFS('[1]Исходные данные'!$I$2:$I$606,'[1]Исходные данные'!$D$2:$D$606,"ОТДН",'[1]Исходные данные'!$F$2:$F$606,"36")</f>
        <v>0</v>
      </c>
      <c r="BE37" s="11">
        <f>SUMIFS('[1]Исходные данные'!$J$2:$J$606,'[1]Исходные данные'!$D$2:$D$606,"ОТДН",'[1]Исходные данные'!$F$2:$F$606,"36")</f>
        <v>0</v>
      </c>
      <c r="BF37" s="11">
        <f>SUMIFS('[1]Исходные данные'!$I$2:$I$606,'[1]Исходные данные'!$D$2:$D$606,"ПЧ-Семсер",'[1]Исходные данные'!$F$2:$F$606,"36")</f>
        <v>0</v>
      </c>
      <c r="BG37" s="11">
        <f>SUMIFS('[1]Исходные данные'!$J$2:$J$606,'[1]Исходные данные'!$D$2:$D$606,"ПЧ-Семсер",'[1]Исходные данные'!$F$2:$F$606,"36")</f>
        <v>0</v>
      </c>
      <c r="BH37" s="11">
        <f>SUMIFS('[1]Исходные данные'!$I$2:$I$606,'[1]Исходные данные'!$D$2:$D$606,"ПРЦЭО(2)",'[1]Исходные данные'!$F$2:$F$606,"36")</f>
        <v>0</v>
      </c>
      <c r="BI37" s="11">
        <f>SUMIFS('[1]Исходные данные'!$J$2:$J$606,'[1]Исходные данные'!$D$2:$D$606,"ПРЦЭО(2)",'[1]Исходные данные'!$F$2:$F$606,"36")</f>
        <v>0</v>
      </c>
      <c r="BJ37" s="11">
        <f>SUMIFS('[1]Исходные данные'!$I$2:$I$606,'[1]Исходные данные'!$D$2:$D$606,"БД",'[1]Исходные данные'!$F$2:$F$606,"36")</f>
        <v>0</v>
      </c>
      <c r="BK37" s="11">
        <f>SUMIFS('[1]Исходные данные'!$J$2:$J$606,'[1]Исходные данные'!$D$2:$D$606,"БД",'[1]Исходные данные'!$F$2:$F$606,"36")</f>
        <v>0</v>
      </c>
      <c r="BL37" s="11">
        <f>SUMIFS('[1]Исходные данные'!$I$2:$I$606,'[1]Исходные данные'!$D$2:$D$606,"ОГиР",'[1]Исходные данные'!$F$2:$F$606,"36")</f>
        <v>0</v>
      </c>
      <c r="BM37" s="11">
        <f>SUMIFS('[1]Исходные данные'!$J$2:$J$606,'[1]Исходные данные'!$D$2:$D$606,"ОГиР",'[1]Исходные данные'!$F$2:$F$606,"36")</f>
        <v>0</v>
      </c>
      <c r="BN37" s="11">
        <f>SUMIFS('[1]Исходные данные'!$I$2:$I$606,'[1]Исходные данные'!$D$2:$D$606,"ГСРиВК",'[1]Исходные данные'!$F$2:$F$606,"36")</f>
        <v>0</v>
      </c>
      <c r="BO37" s="11">
        <f>SUMIFS('[1]Исходные данные'!$J$2:$J$606,'[1]Исходные данные'!$D$2:$D$606,"ГСРиВК",'[1]Исходные данные'!$F$2:$F$606,"36")</f>
        <v>0</v>
      </c>
      <c r="BP37" s="11">
        <f>SUMIFS('[1]Исходные данные'!$I$2:$I$606,'[1]Исходные данные'!$D$2:$D$606,"МПГУ",'[1]Исходные данные'!$F$2:$F$606,"36")</f>
        <v>0</v>
      </c>
      <c r="BQ37" s="11">
        <f>SUMIFS('[1]Исходные данные'!$J$2:$J$606,'[1]Исходные данные'!$D$2:$D$606,"МПГУ",'[1]Исходные данные'!$F$2:$F$606,"36")</f>
        <v>0</v>
      </c>
      <c r="BR37" s="11">
        <f>SUMIFS('[1]Исходные данные'!$I$2:$I$606,'[1]Исходные данные'!$D$2:$D$606,"БПО 2",'[1]Исходные данные'!$F$2:$F$606,"36")</f>
        <v>0</v>
      </c>
      <c r="BS37" s="11">
        <f>SUMIFS('[1]Исходные данные'!$J$2:$J$606,'[1]Исходные данные'!$D$2:$D$606,"БПО 2",'[1]Исходные данные'!$F$2:$F$606,"36")</f>
        <v>0</v>
      </c>
      <c r="BT37" s="11">
        <f>SUMIFS('[1]Исходные данные'!$I$2:$I$606,'[1]Исходные данные'!$D$2:$D$606,"ЛД",'[1]Исходные данные'!$F$2:$F$606,"36")</f>
        <v>0</v>
      </c>
      <c r="BU37" s="11">
        <f>SUMIFS('[1]Исходные данные'!$J$2:$J$606,'[1]Исходные данные'!$D$2:$D$606,"ЛД",'[1]Исходные данные'!$F$2:$F$606,"36")</f>
        <v>0</v>
      </c>
      <c r="BV37" s="11">
        <f>SUMIFS('[1]Исходные данные'!$I$2:$I$606,'[1]Исходные данные'!$D$2:$D$606,"Отделкадр",'[1]Исходные данные'!$F$2:$F$606,"36")</f>
        <v>0</v>
      </c>
      <c r="BW37" s="11">
        <f>SUMIFS('[1]Исходные данные'!$J$2:$J$606,'[1]Исходные данные'!$D$2:$D$606,"Отделкадр",'[1]Исходные данные'!$F$2:$F$606,"36")</f>
        <v>0</v>
      </c>
      <c r="BX37" s="11">
        <f>SUMIFS('[1]Исходные данные'!$I$2:$I$606,'[1]Исходные данные'!$D$2:$D$606,"ЦИТС.",'[1]Исходные данные'!$F$2:$F$606,"36")</f>
        <v>0</v>
      </c>
      <c r="BY37" s="11">
        <f>SUMIFS('[1]Исходные данные'!$J$2:$J$606,'[1]Исходные данные'!$D$2:$D$606,"ЦИТС.",'[1]Исходные данные'!$F$2:$F$606,"36")</f>
        <v>0</v>
      </c>
      <c r="BZ37" s="11">
        <f>SUMIFS('[1]Исходные данные'!$I$2:$I$606,'[1]Исходные данные'!$D$2:$D$606,"ОБО",'[1]Исходные данные'!$F$2:$F$606,"36")</f>
        <v>0</v>
      </c>
      <c r="CA37" s="11">
        <f>SUMIFS('[1]Исходные данные'!$J$2:$J$606,'[1]Исходные данные'!$D$2:$D$606,"ОБО",'[1]Исходные данные'!$F$2:$F$606,"36")</f>
        <v>0</v>
      </c>
      <c r="CB37" s="11">
        <f>SUMIFS('[1]Исходные данные'!$I$2:$I$606,'[1]Исходные данные'!$D$2:$D$606,"УЖЭО",'[1]Исходные данные'!$F$2:$F$606,"36")</f>
        <v>0</v>
      </c>
      <c r="CC37" s="11">
        <f>SUMIFS('[1]Исходные данные'!$J$2:$J$606,'[1]Исходные данные'!$D$2:$D$606,"УЖЭО",'[1]Исходные данные'!$F$2:$F$606,"36")</f>
        <v>0</v>
      </c>
      <c r="CD37" s="11">
        <f>SUMIFS('[1]Исходные данные'!$I$2:$I$606,'[1]Исходные данные'!$D$2:$D$606,"Мухтар/Хамит",'[1]Исходные данные'!$F$2:$F$606,"36")</f>
        <v>1</v>
      </c>
      <c r="CE37" s="11">
        <f>SUMIFS('[1]Исходные данные'!$J$2:$J$606,'[1]Исходные данные'!$D$2:$D$606,"Мухтар/Хамит",'[1]Исходные данные'!$F$2:$F$606,"36")</f>
        <v>1</v>
      </c>
      <c r="CF37" s="11">
        <f>SUMIFS('[1]Исходные данные'!$I$2:$I$606,'[1]Исходные данные'!$D$2:$D$606,"ОБО-    СБ",'[1]Исходные данные'!$F$2:$F$606,"36")</f>
        <v>0</v>
      </c>
      <c r="CG37" s="11">
        <f>SUMIFS('[1]Исходные данные'!$J$2:$J$606,'[1]Исходные данные'!$D$2:$D$606,"ОБО-    СБ",'[1]Исходные данные'!$F$2:$F$606,"36")</f>
        <v>0</v>
      </c>
      <c r="CH37" s="11">
        <f>SUMIFS('[1]Исходные данные'!$I$2:$I$606,'[1]Исходные данные'!$D$2:$D$606,"РМУ 2",'[1]Исходные данные'!$F$2:$F$606,"36")</f>
        <v>0</v>
      </c>
      <c r="CI37" s="11">
        <f>SUMIFS('[1]Исходные данные'!$J$2:$J$606,'[1]Исходные данные'!$D$2:$D$606,"РМУ 2",'[1]Исходные данные'!$F$2:$F$606,"36")</f>
        <v>0</v>
      </c>
      <c r="CJ37" s="11">
        <f>SUMIFS('[1]Исходные данные'!$I$2:$I$606,'[1]Исходные данные'!$D$2:$D$606,"ГАПиИТ",'[1]Исходные данные'!$F$2:$F$606,"36")</f>
        <v>0</v>
      </c>
      <c r="CK37" s="11">
        <f>SUMIFS('[1]Исходные данные'!$J$2:$J$606,'[1]Исходные данные'!$D$2:$D$606,"ГАПиИТ",'[1]Исходные данные'!$F$2:$F$606,"36")</f>
        <v>0</v>
      </c>
      <c r="CL37" s="11">
        <f>SUMIFS('[1]Исходные данные'!$I$2:$I$606,'[1]Исходные данные'!$D$2:$D$606,"ОМ",'[1]Исходные данные'!$F$2:$F$606,"36")</f>
        <v>0</v>
      </c>
      <c r="CM37" s="11">
        <f>SUMIFS('[1]Исходные данные'!$J$2:$J$606,'[1]Исходные данные'!$D$2:$D$606,"ОМ",'[1]Исходные данные'!$F$2:$F$606,"36")</f>
        <v>0</v>
      </c>
      <c r="CN37" s="11">
        <f>SUMIFS('[1]Исходные данные'!$I$2:$I$606,'[1]Исходные данные'!$D$2:$D$606,"оппоIR",'[1]Исходные данные'!$F$2:$F$606,"36")</f>
        <v>0</v>
      </c>
      <c r="CO37" s="11">
        <f>SUMIFS('[1]Исходные данные'!$J$2:$J$606,'[1]Исходные данные'!$D$2:$D$606,"оппоIR",'[1]Исходные данные'!$F$2:$F$606,"36")</f>
        <v>0</v>
      </c>
      <c r="CP37" s="11">
        <f>SUMIFS('[1]Исходные данные'!$I$2:$I$606,'[1]Исходные данные'!$D$2:$D$606,"Маркшейдер",'[1]Исходные данные'!$F$2:$F$606,"36")</f>
        <v>0</v>
      </c>
      <c r="CQ37" s="11">
        <f>SUMIFS('[1]Исходные данные'!$J$2:$J$606,'[1]Исходные данные'!$D$2:$D$606,"Маркшейдер",'[1]Исходные данные'!$F$2:$F$606,"36")</f>
        <v>0</v>
      </c>
      <c r="CR37" s="11">
        <f>SUMIFS('[1]Исходные данные'!$I$2:$I$606,'[1]Исходные данные'!$D$2:$D$606,"ПСО",'[1]Исходные данные'!$F$2:$F$606,"36")</f>
        <v>0</v>
      </c>
      <c r="CS37" s="11">
        <f>SUMIFS('[1]Исходные данные'!$J$2:$J$606,'[1]Исходные данные'!$D$2:$D$606,"ПСО",'[1]Исходные данные'!$F$2:$F$606,"36")</f>
        <v>0</v>
      </c>
    </row>
    <row r="38" spans="1:97" x14ac:dyDescent="0.25">
      <c r="A38" s="13" t="s">
        <v>121</v>
      </c>
      <c r="B38" s="11" t="s">
        <v>122</v>
      </c>
      <c r="C38" s="10">
        <f t="shared" si="0"/>
        <v>1</v>
      </c>
      <c r="D38" s="10">
        <f t="shared" si="1"/>
        <v>1</v>
      </c>
      <c r="E38" s="10">
        <f t="shared" si="1"/>
        <v>0</v>
      </c>
      <c r="F38" s="11">
        <f>SUMIFS('[1]Исходные данные'!$I$2:$I$606,'[1]Исходные данные'!$D$2:$D$606,"ЦДН-1",'[1]Исходные данные'!$F$2:$F$606,"33")</f>
        <v>1</v>
      </c>
      <c r="G38" s="11">
        <f>SUMIFS('[1]Исходные данные'!$J$2:$J$606,'[1]Исходные данные'!$D$2:$D$606,"ЦДН-1",'[1]Исходные данные'!$F$2:$F$606,"33")</f>
        <v>0</v>
      </c>
      <c r="H38" s="11">
        <f>SUMIFS('[1]Исходные данные'!$I$2:$I$606,'[1]Исходные данные'!$D$2:$D$606,"ЦДН-2",'[1]Исходные данные'!$F$2:$F$606,"33")</f>
        <v>0</v>
      </c>
      <c r="I38" s="11">
        <f>SUMIFS('[1]Исходные данные'!$J$2:$J$606,'[1]Исходные данные'!$D$2:$D$606,"ЦДН-2",'[1]Исходные данные'!$F$2:$F$606,"33")</f>
        <v>0</v>
      </c>
      <c r="J38" s="11">
        <f>SUMIFS('[1]Исходные данные'!$I$2:$I$606,'[1]Исходные данные'!$D$2:$D$606,"ЦДН-3",'[1]Исходные данные'!$F$2:$F$606,"33")</f>
        <v>0</v>
      </c>
      <c r="K38" s="11">
        <f>SUMIFS('[1]Исходные данные'!$J$2:$J$606,'[1]Исходные данные'!$D$2:$D$606,"ЦДН-3",'[1]Исходные данные'!$F$2:$F$606,"33")</f>
        <v>0</v>
      </c>
      <c r="L38" s="11">
        <f>SUMIFS('[1]Исходные данные'!$I$2:$I$606,'[1]Исходные данные'!$D$2:$D$606,"ЦППН",'[1]Исходные данные'!$F$2:$F$606,"33")</f>
        <v>0</v>
      </c>
      <c r="M38" s="11">
        <f>SUMIFS('[1]Исходные данные'!$J$2:$J$606,'[1]Исходные данные'!$D$2:$D$606,"ЦППН",'[1]Исходные данные'!$F$2:$F$606,"33")</f>
        <v>0</v>
      </c>
      <c r="N38" s="11">
        <f>SUMIFS('[1]Исходные данные'!$I$2:$I$606,'[1]Исходные данные'!$D$2:$D$606,"ЦППД",'[1]Исходные данные'!$F$2:$F$606,"33")</f>
        <v>0</v>
      </c>
      <c r="O38" s="11">
        <f>SUMIFS('[1]Исходные данные'!$J$2:$J$606,'[1]Исходные данные'!$D$2:$D$606,"ЦППД",'[1]Исходные данные'!$F$2:$F$606,"33")</f>
        <v>0</v>
      </c>
      <c r="P38" s="11">
        <f>SUMIFS('[1]Исходные данные'!$I$2:$I$606,'[1]Исходные данные'!$D$2:$D$606,"ЭЦ",'[1]Исходные данные'!$F$2:$F$606,"33")</f>
        <v>0</v>
      </c>
      <c r="Q38" s="11">
        <f>SUMIFS('[1]Исходные данные'!$J$2:$J$606,'[1]Исходные данные'!$D$2:$D$606,"ЭЦ",'[1]Исходные данные'!$F$2:$F$606,"33")</f>
        <v>0</v>
      </c>
      <c r="R38" s="11">
        <f>SUMIFS('[1]Исходные данные'!$I$2:$I$606,'[1]Исходные данные'!$D$2:$D$606,"ОКС",'[1]Исходные данные'!$F$2:$F$606,"33")</f>
        <v>0</v>
      </c>
      <c r="S38" s="11">
        <f>SUMIFS('[1]Исходные данные'!$J$2:$J$606,'[1]Исходные данные'!$D$2:$D$606,"ОКС",'[1]Исходные данные'!$F$2:$F$606,"33")</f>
        <v>0</v>
      </c>
      <c r="T38" s="11">
        <f>SUMIFS('[1]Исходные данные'!$I$2:$I$606,'[1]Исходные данные'!$D$2:$D$606,"РСЦ",'[1]Исходные данные'!$F$2:$F$606,"33")</f>
        <v>0</v>
      </c>
      <c r="U38" s="11">
        <f>SUMIFS('[1]Исходные данные'!$J$2:$J$606,'[1]Исходные данные'!$D$2:$D$606,"РСЦ",'[1]Исходные данные'!$F$2:$F$606,"33")</f>
        <v>0</v>
      </c>
      <c r="V38" s="11">
        <f>SUMIFS('[1]Исходные данные'!$I$2:$I$606,'[1]Исходные данные'!$D$2:$D$606,"ЦИТС",'[1]Исходные данные'!$F$2:$F$606,"33")</f>
        <v>0</v>
      </c>
      <c r="W38" s="11">
        <f>SUMIFS('[1]Исходные данные'!$J$2:$J$606,'[1]Исходные данные'!$D$2:$D$606,"ЦИТС",'[1]Исходные данные'!$F$2:$F$606,"33")</f>
        <v>0</v>
      </c>
      <c r="X38" s="11">
        <f>SUMIFS('[1]Исходные данные'!$I$2:$I$606,'[1]Исходные данные'!$D$2:$D$606,"ПРЦЭО",'[1]Исходные данные'!$F$2:$F$606,"33")</f>
        <v>0</v>
      </c>
      <c r="Y38" s="11">
        <f>SUMIFS('[1]Исходные данные'!$J$2:$J$606,'[1]Исходные данные'!$D$2:$D$606,"ПРЦЭО",'[1]Исходные данные'!$F$2:$F$606,"33")</f>
        <v>0</v>
      </c>
      <c r="Z38" s="11">
        <f>SUMIFS('[1]Исходные данные'!$I$2:$I$606,'[1]Исходные данные'!$D$2:$D$606,"ГЦ",'[1]Исходные данные'!$F$2:$F$606,"33")</f>
        <v>0</v>
      </c>
      <c r="AA38" s="11">
        <f>SUMIFS('[1]Исходные данные'!$J$2:$J$606,'[1]Исходные данные'!$D$2:$D$606,"ГЦ",'[1]Исходные данные'!$F$2:$F$606,"33")</f>
        <v>0</v>
      </c>
      <c r="AB38" s="11">
        <f>SUMIFS('[1]Исходные данные'!$I$2:$I$606,'[1]Исходные данные'!$D$2:$D$606,"ЦПП",'[1]Исходные данные'!$F$2:$F$606,"33")</f>
        <v>0</v>
      </c>
      <c r="AC38" s="11">
        <f>SUMIFS('[1]Исходные данные'!$J$2:$J$606,'[1]Исходные данные'!$D$2:$D$606,"ЦПП",'[1]Исходные данные'!$F$2:$F$606,"33")</f>
        <v>0</v>
      </c>
      <c r="AD38" s="11">
        <f>SUMIFS('[1]Исходные данные'!$I$2:$I$606,'[1]Исходные данные'!$D$2:$D$606,"БМТС",'[1]Исходные данные'!$F$2:$F$606,"33")</f>
        <v>0</v>
      </c>
      <c r="AE38" s="11">
        <f>SUMIFS('[1]Исходные данные'!$J$2:$J$606,'[1]Исходные данные'!$D$2:$D$606,"БМТС",'[1]Исходные данные'!$F$2:$F$606,"33")</f>
        <v>0</v>
      </c>
      <c r="AF38" s="11">
        <f>SUMIFS('[1]Исходные данные'!$I$2:$I$606,'[1]Исходные данные'!$D$2:$D$606,"УБиПКРС-1",'[1]Исходные данные'!$F$2:$F$606,"33")</f>
        <v>0</v>
      </c>
      <c r="AG38" s="11">
        <f>SUMIFS('[1]Исходные данные'!$J$2:$J$606,'[1]Исходные данные'!$D$2:$D$606,"УБиПКРС-1",'[1]Исходные данные'!$F$2:$F$606,"33")</f>
        <v>0</v>
      </c>
      <c r="AH38" s="11">
        <f>SUMIFS('[1]Исходные данные'!$I$2:$I$606,'[1]Исходные данные'!$D$2:$D$606,"УБиПКРС-2",'[1]Исходные данные'!$F$2:$F$606,"33")</f>
        <v>0</v>
      </c>
      <c r="AI38" s="11">
        <f>SUMIFS('[1]Исходные данные'!$J$2:$J$606,'[1]Исходные данные'!$D$2:$D$606,"УБиПКРС-2",'[1]Исходные данные'!$F$2:$F$606,"33")</f>
        <v>0</v>
      </c>
      <c r="AJ38" s="11">
        <f>SUMIFS('[1]Исходные данные'!$I$2:$I$606,'[1]Исходные данные'!$D$2:$D$606,"ДТТ-1",'[1]Исходные данные'!$F$2:$F$606,"33")</f>
        <v>0</v>
      </c>
      <c r="AK38" s="11">
        <f>SUMIFS('[1]Исходные данные'!$J$2:$J$606,'[1]Исходные данные'!$D$2:$D$606,"ДТТ-1",'[1]Исходные данные'!$F$2:$F$606,"33")</f>
        <v>0</v>
      </c>
      <c r="AL38" s="11">
        <f>SUMIFS('[1]Исходные данные'!$I$2:$I$606,'[1]Исходные данные'!$D$2:$D$606,"ЦНИПР",'[1]Исходные данные'!$F$2:$F$606,"33")</f>
        <v>0</v>
      </c>
      <c r="AM38" s="11">
        <f>SUMIFS('[1]Исходные данные'!$J$2:$J$606,'[1]Исходные данные'!$D$2:$D$606,"ЦНИПР",'[1]Исходные данные'!$F$2:$F$606,"33")</f>
        <v>0</v>
      </c>
      <c r="AN38" s="11">
        <f>SUMIFS('[1]Исходные данные'!$I$2:$I$606,'[1]Исходные данные'!$D$2:$D$606,"ОБиПКРС",'[1]Исходные данные'!$F$2:$F$606,"33")</f>
        <v>0</v>
      </c>
      <c r="AO38" s="11">
        <f>SUMIFS('[1]Исходные данные'!$J$2:$J$606,'[1]Исходные данные'!$D$2:$D$606,"ОБиПКРС",'[1]Исходные данные'!$F$2:$F$606,"33")</f>
        <v>0</v>
      </c>
      <c r="AP38" s="11">
        <f>SUMIFS('[1]Исходные данные'!$I$2:$I$606,'[1]Исходные данные'!$D$2:$D$606,"ЦАП",'[1]Исходные данные'!$F$2:$F$606,"33")</f>
        <v>0</v>
      </c>
      <c r="AQ38" s="11">
        <f>SUMIFS('[1]Исходные данные'!$J$2:$J$606,'[1]Исходные данные'!$D$2:$D$606,"ЦАП",'[1]Исходные данные'!$F$2:$F$606,"33")</f>
        <v>0</v>
      </c>
      <c r="AR38" s="11">
        <f>SUMIFS('[1]Исходные данные'!$I$2:$I$606,'[1]Исходные данные'!$D$2:$D$606,"ГООС",'[1]Исходные данные'!$F$2:$F$606,"33")</f>
        <v>0</v>
      </c>
      <c r="AS38" s="11">
        <f>SUMIFS('[1]Исходные данные'!$J$2:$J$606,'[1]Исходные данные'!$D$2:$D$606,"ГООС",'[1]Исходные данные'!$F$2:$F$606,"33")</f>
        <v>0</v>
      </c>
      <c r="AT38" s="11">
        <f>SUMIFS('[1]Исходные данные'!$I$2:$I$606,'[1]Исходные данные'!$D$2:$D$606,"Ақкетік",'[1]Исходные данные'!$F$2:$F$606,"33")</f>
        <v>0</v>
      </c>
      <c r="AU38" s="11">
        <f>SUMIFS('[1]Исходные данные'!$J$2:$J$606,'[1]Исходные данные'!$D$2:$D$606,"Ақкетік",'[1]Исходные данные'!$F$2:$F$606,"33")</f>
        <v>0</v>
      </c>
      <c r="AV38" s="11">
        <f>SUMIFS('[1]Исходные данные'!$I$2:$I$606,'[1]Исходные данные'!$D$2:$D$606,"Нейрон",'[1]Исходные данные'!$F$2:$F$606,"33")</f>
        <v>0</v>
      </c>
      <c r="AW38" s="11">
        <f>SUMIFS('[1]Исходные данные'!$J$2:$J$606,'[1]Исходные данные'!$D$2:$D$606,"Нейрон",'[1]Исходные данные'!$F$2:$F$606,"33")</f>
        <v>0</v>
      </c>
      <c r="AX38" s="11">
        <f>SUMIFS('[1]Исходные данные'!$I$2:$I$606,'[1]Исходные данные'!$D$2:$D$606,"Бурение",'[1]Исходные данные'!$F$2:$F$606,"33")</f>
        <v>0</v>
      </c>
      <c r="AY38" s="11">
        <f>SUMIFS('[1]Исходные данные'!$J$2:$J$606,'[1]Исходные данные'!$D$2:$D$606,"Бурение",'[1]Исходные данные'!$F$2:$F$606,"33")</f>
        <v>0</v>
      </c>
      <c r="AZ38" s="11">
        <f>SUMIFS('[1]Исходные данные'!$I$2:$I$606,'[1]Исходные данные'!$D$2:$D$606,"ЦТВС",'[1]Исходные данные'!$F$2:$F$606,"33")</f>
        <v>0</v>
      </c>
      <c r="BA38" s="11">
        <f>SUMIFS('[1]Исходные данные'!$J$2:$J$606,'[1]Исходные данные'!$D$2:$D$606,"ЦТВС",'[1]Исходные данные'!$F$2:$F$606,"33")</f>
        <v>0</v>
      </c>
      <c r="BB38" s="11">
        <f>SUMIFS('[1]Исходные данные'!$I$2:$I$606,'[1]Исходные данные'!$D$2:$D$606,"ТБ",'[1]Исходные данные'!$F$2:$F$606,"33")</f>
        <v>0</v>
      </c>
      <c r="BC38" s="11">
        <f>SUMIFS('[1]Исходные данные'!$J$2:$J$606,'[1]Исходные данные'!$D$2:$D$606,"ТБ",'[1]Исходные данные'!$F$2:$F$606,"33")</f>
        <v>0</v>
      </c>
      <c r="BD38" s="11">
        <f>SUMIFS('[1]Исходные данные'!$I$2:$I$606,'[1]Исходные данные'!$D$2:$D$606,"ОТДН",'[1]Исходные данные'!$F$2:$F$606,"33")</f>
        <v>0</v>
      </c>
      <c r="BE38" s="11">
        <f>SUMIFS('[1]Исходные данные'!$J$2:$J$606,'[1]Исходные данные'!$D$2:$D$606,"ОТДН",'[1]Исходные данные'!$F$2:$F$606,"33")</f>
        <v>0</v>
      </c>
      <c r="BF38" s="11">
        <f>SUMIFS('[1]Исходные данные'!$I$2:$I$606,'[1]Исходные данные'!$D$2:$D$606,"ПЧ-Семсер",'[1]Исходные данные'!$F$2:$F$606,"33")</f>
        <v>0</v>
      </c>
      <c r="BG38" s="11">
        <f>SUMIFS('[1]Исходные данные'!$J$2:$J$606,'[1]Исходные данные'!$D$2:$D$606,"ПЧ-Семсер",'[1]Исходные данные'!$F$2:$F$606,"33")</f>
        <v>0</v>
      </c>
      <c r="BH38" s="11">
        <f>SUMIFS('[1]Исходные данные'!$I$2:$I$606,'[1]Исходные данные'!$D$2:$D$606,"ПРЦЭО(2)",'[1]Исходные данные'!$F$2:$F$606,"33")</f>
        <v>0</v>
      </c>
      <c r="BI38" s="11">
        <f>SUMIFS('[1]Исходные данные'!$J$2:$J$606,'[1]Исходные данные'!$D$2:$D$606,"ПРЦЭО(2)",'[1]Исходные данные'!$F$2:$F$606,"33")</f>
        <v>0</v>
      </c>
      <c r="BJ38" s="11">
        <f>SUMIFS('[1]Исходные данные'!$I$2:$I$606,'[1]Исходные данные'!$D$2:$D$606,"БД",'[1]Исходные данные'!$F$2:$F$606,"33")</f>
        <v>0</v>
      </c>
      <c r="BK38" s="11">
        <f>SUMIFS('[1]Исходные данные'!$J$2:$J$606,'[1]Исходные данные'!$D$2:$D$606,"БД",'[1]Исходные данные'!$F$2:$F$606,"33")</f>
        <v>0</v>
      </c>
      <c r="BL38" s="11">
        <f>SUMIFS('[1]Исходные данные'!$I$2:$I$606,'[1]Исходные данные'!$D$2:$D$606,"ОГиР",'[1]Исходные данные'!$F$2:$F$606,"33")</f>
        <v>0</v>
      </c>
      <c r="BM38" s="11">
        <f>SUMIFS('[1]Исходные данные'!$J$2:$J$606,'[1]Исходные данные'!$D$2:$D$606,"ОГиР",'[1]Исходные данные'!$F$2:$F$606,"33")</f>
        <v>0</v>
      </c>
      <c r="BN38" s="11">
        <f>SUMIFS('[1]Исходные данные'!$I$2:$I$606,'[1]Исходные данные'!$D$2:$D$606,"ГСРиВК",'[1]Исходные данные'!$F$2:$F$606,"33")</f>
        <v>0</v>
      </c>
      <c r="BO38" s="11">
        <f>SUMIFS('[1]Исходные данные'!$J$2:$J$606,'[1]Исходные данные'!$D$2:$D$606,"ГСРиВК",'[1]Исходные данные'!$F$2:$F$606,"33")</f>
        <v>0</v>
      </c>
      <c r="BP38" s="11">
        <f>SUMIFS('[1]Исходные данные'!$I$2:$I$606,'[1]Исходные данные'!$D$2:$D$606,"МПГУ",'[1]Исходные данные'!$F$2:$F$606,"33")</f>
        <v>0</v>
      </c>
      <c r="BQ38" s="11">
        <f>SUMIFS('[1]Исходные данные'!$J$2:$J$606,'[1]Исходные данные'!$D$2:$D$606,"МПГУ",'[1]Исходные данные'!$F$2:$F$606,"33")</f>
        <v>0</v>
      </c>
      <c r="BR38" s="11">
        <f>SUMIFS('[1]Исходные данные'!$I$2:$I$606,'[1]Исходные данные'!$D$2:$D$606,"БПО 2",'[1]Исходные данные'!$F$2:$F$606,"33")</f>
        <v>0</v>
      </c>
      <c r="BS38" s="11">
        <f>SUMIFS('[1]Исходные данные'!$J$2:$J$606,'[1]Исходные данные'!$D$2:$D$606,"БПО 2",'[1]Исходные данные'!$F$2:$F$606,"33")</f>
        <v>0</v>
      </c>
      <c r="BT38" s="11">
        <f>SUMIFS('[1]Исходные данные'!$I$2:$I$606,'[1]Исходные данные'!$D$2:$D$606,"ЛД",'[1]Исходные данные'!$F$2:$F$606,"33")</f>
        <v>0</v>
      </c>
      <c r="BU38" s="11">
        <f>SUMIFS('[1]Исходные данные'!$J$2:$J$606,'[1]Исходные данные'!$D$2:$D$606,"ЛД",'[1]Исходные данные'!$F$2:$F$606,"33")</f>
        <v>0</v>
      </c>
      <c r="BV38" s="11">
        <f>SUMIFS('[1]Исходные данные'!$I$2:$I$606,'[1]Исходные данные'!$D$2:$D$606,"Отделкадр",'[1]Исходные данные'!$F$2:$F$606,"33")</f>
        <v>0</v>
      </c>
      <c r="BW38" s="11">
        <f>SUMIFS('[1]Исходные данные'!$J$2:$J$606,'[1]Исходные данные'!$D$2:$D$606,"Отделкадр",'[1]Исходные данные'!$F$2:$F$606,"33")</f>
        <v>0</v>
      </c>
      <c r="BX38" s="11">
        <f>SUMIFS('[1]Исходные данные'!$I$2:$I$606,'[1]Исходные данные'!$D$2:$D$606,"ЦИТС.",'[1]Исходные данные'!$F$2:$F$606,"33")</f>
        <v>0</v>
      </c>
      <c r="BY38" s="11">
        <f>SUMIFS('[1]Исходные данные'!$J$2:$J$606,'[1]Исходные данные'!$D$2:$D$606,"ЦИТС.",'[1]Исходные данные'!$F$2:$F$606,"33")</f>
        <v>0</v>
      </c>
      <c r="BZ38" s="11">
        <f>SUMIFS('[1]Исходные данные'!$I$2:$I$606,'[1]Исходные данные'!$D$2:$D$606,"ОБО",'[1]Исходные данные'!$F$2:$F$606,"33")</f>
        <v>0</v>
      </c>
      <c r="CA38" s="11">
        <f>SUMIFS('[1]Исходные данные'!$J$2:$J$606,'[1]Исходные данные'!$D$2:$D$606,"ОБО",'[1]Исходные данные'!$F$2:$F$606,"33")</f>
        <v>0</v>
      </c>
      <c r="CB38" s="11">
        <f>SUMIFS('[1]Исходные данные'!$I$2:$I$606,'[1]Исходные данные'!$D$2:$D$606,"УЖЭО",'[1]Исходные данные'!$F$2:$F$606,"33")</f>
        <v>0</v>
      </c>
      <c r="CC38" s="11">
        <f>SUMIFS('[1]Исходные данные'!$J$2:$J$606,'[1]Исходные данные'!$D$2:$D$606,"УЖЭО",'[1]Исходные данные'!$F$2:$F$606,"33")</f>
        <v>0</v>
      </c>
      <c r="CD38" s="11">
        <f>SUMIFS('[1]Исходные данные'!$I$2:$I$606,'[1]Исходные данные'!$D$2:$D$606,"Мухтар/Хамит",'[1]Исходные данные'!$F$2:$F$606,"33")</f>
        <v>0</v>
      </c>
      <c r="CE38" s="11">
        <f>SUMIFS('[1]Исходные данные'!$J$2:$J$606,'[1]Исходные данные'!$D$2:$D$606,"Мухтар/Хамит",'[1]Исходные данные'!$F$2:$F$606,"33")</f>
        <v>0</v>
      </c>
      <c r="CF38" s="11">
        <f>SUMIFS('[1]Исходные данные'!$I$2:$I$606,'[1]Исходные данные'!$D$2:$D$606,"ОБО-    СБ",'[1]Исходные данные'!$F$2:$F$606,"33")</f>
        <v>0</v>
      </c>
      <c r="CG38" s="11">
        <f>SUMIFS('[1]Исходные данные'!$J$2:$J$606,'[1]Исходные данные'!$D$2:$D$606,"ОБО-    СБ",'[1]Исходные данные'!$F$2:$F$606,"33")</f>
        <v>0</v>
      </c>
      <c r="CH38" s="11">
        <f>SUMIFS('[1]Исходные данные'!$I$2:$I$606,'[1]Исходные данные'!$D$2:$D$606,"РМУ 2",'[1]Исходные данные'!$F$2:$F$606,"33")</f>
        <v>0</v>
      </c>
      <c r="CI38" s="11">
        <f>SUMIFS('[1]Исходные данные'!$J$2:$J$606,'[1]Исходные данные'!$D$2:$D$606,"РМУ 2",'[1]Исходные данные'!$F$2:$F$606,"33")</f>
        <v>0</v>
      </c>
      <c r="CJ38" s="11">
        <f>SUMIFS('[1]Исходные данные'!$I$2:$I$606,'[1]Исходные данные'!$D$2:$D$606,"ГАПиИТ",'[1]Исходные данные'!$F$2:$F$606,"33")</f>
        <v>0</v>
      </c>
      <c r="CK38" s="11">
        <f>SUMIFS('[1]Исходные данные'!$J$2:$J$606,'[1]Исходные данные'!$D$2:$D$606,"ГАПиИТ",'[1]Исходные данные'!$F$2:$F$606,"33")</f>
        <v>0</v>
      </c>
      <c r="CL38" s="11">
        <f>SUMIFS('[1]Исходные данные'!$I$2:$I$606,'[1]Исходные данные'!$D$2:$D$606,"ОМ",'[1]Исходные данные'!$F$2:$F$606,"33")</f>
        <v>0</v>
      </c>
      <c r="CM38" s="11">
        <f>SUMIFS('[1]Исходные данные'!$J$2:$J$606,'[1]Исходные данные'!$D$2:$D$606,"ОМ",'[1]Исходные данные'!$F$2:$F$606,"33")</f>
        <v>0</v>
      </c>
      <c r="CN38" s="11">
        <f>SUMIFS('[1]Исходные данные'!$I$2:$I$606,'[1]Исходные данные'!$D$2:$D$606,"оппоIR",'[1]Исходные данные'!$F$2:$F$606,"33")</f>
        <v>0</v>
      </c>
      <c r="CO38" s="11">
        <f>SUMIFS('[1]Исходные данные'!$J$2:$J$606,'[1]Исходные данные'!$D$2:$D$606,"оппоIR",'[1]Исходные данные'!$F$2:$F$606,"33")</f>
        <v>0</v>
      </c>
      <c r="CP38" s="11">
        <f>SUMIFS('[1]Исходные данные'!$I$2:$I$606,'[1]Исходные данные'!$D$2:$D$606,"Маркшейдер",'[1]Исходные данные'!$F$2:$F$606,"33")</f>
        <v>0</v>
      </c>
      <c r="CQ38" s="11">
        <f>SUMIFS('[1]Исходные данные'!$J$2:$J$606,'[1]Исходные данные'!$D$2:$D$606,"Маркшейдер",'[1]Исходные данные'!$F$2:$F$606,"33")</f>
        <v>0</v>
      </c>
      <c r="CR38" s="11">
        <f>SUMIFS('[1]Исходные данные'!$I$2:$I$606,'[1]Исходные данные'!$D$2:$D$606,"ПСО",'[1]Исходные данные'!$F$2:$F$606,"33")</f>
        <v>0</v>
      </c>
      <c r="CS38" s="11">
        <f>SUMIFS('[1]Исходные данные'!$J$2:$J$606,'[1]Исходные данные'!$D$2:$D$606,"ПСО",'[1]Исходные данные'!$F$2:$F$606,"33")</f>
        <v>0</v>
      </c>
    </row>
    <row r="39" spans="1:97" x14ac:dyDescent="0.25">
      <c r="A39" s="13" t="s">
        <v>123</v>
      </c>
      <c r="B39" s="11" t="s">
        <v>124</v>
      </c>
      <c r="C39" s="10">
        <f t="shared" si="0"/>
        <v>1</v>
      </c>
      <c r="D39" s="10">
        <f t="shared" si="1"/>
        <v>1</v>
      </c>
      <c r="E39" s="10">
        <f t="shared" si="1"/>
        <v>0</v>
      </c>
      <c r="F39" s="11">
        <f>SUMIFS('[1]Исходные данные'!$I$2:$I$606,'[1]Исходные данные'!$D$2:$D$606,"ЦДН-1",'[1]Исходные данные'!$F$2:$F$606,"45")</f>
        <v>0</v>
      </c>
      <c r="G39" s="11">
        <f>SUMIFS('[1]Исходные данные'!$J$2:$J$606,'[1]Исходные данные'!$D$2:$D$606,"ЦДН-1",'[1]Исходные данные'!$F$2:$F$606,"45")</f>
        <v>0</v>
      </c>
      <c r="H39" s="11">
        <f>SUMIFS('[1]Исходные данные'!$I$2:$I$606,'[1]Исходные данные'!$D$2:$D$606,"ЦДН-2",'[1]Исходные данные'!$F$2:$F$606,"45")</f>
        <v>0</v>
      </c>
      <c r="I39" s="11">
        <f>SUMIFS('[1]Исходные данные'!$J$2:$J$606,'[1]Исходные данные'!$D$2:$D$606,"ЦДН-2",'[1]Исходные данные'!$F$2:$F$606,"45")</f>
        <v>0</v>
      </c>
      <c r="J39" s="11">
        <f>SUMIFS('[1]Исходные данные'!$I$2:$I$606,'[1]Исходные данные'!$D$2:$D$606,"ЦДН-3",'[1]Исходные данные'!$F$2:$F$606,"45")</f>
        <v>0</v>
      </c>
      <c r="K39" s="11">
        <f>SUMIFS('[1]Исходные данные'!$J$2:$J$606,'[1]Исходные данные'!$D$2:$D$606,"ЦДН-3",'[1]Исходные данные'!$F$2:$F$606,"45")</f>
        <v>0</v>
      </c>
      <c r="L39" s="11">
        <f>SUMIFS('[1]Исходные данные'!$I$2:$I$606,'[1]Исходные данные'!$D$2:$D$606,"ЦППН",'[1]Исходные данные'!$F$2:$F$606,"45")</f>
        <v>0</v>
      </c>
      <c r="M39" s="11">
        <f>SUMIFS('[1]Исходные данные'!$J$2:$J$606,'[1]Исходные данные'!$D$2:$D$606,"ЦППН",'[1]Исходные данные'!$F$2:$F$606,"45")</f>
        <v>0</v>
      </c>
      <c r="N39" s="11">
        <f>SUMIFS('[1]Исходные данные'!$I$2:$I$606,'[1]Исходные данные'!$D$2:$D$606,"ЦППД",'[1]Исходные данные'!$F$2:$F$606,"45")</f>
        <v>0</v>
      </c>
      <c r="O39" s="11">
        <f>SUMIFS('[1]Исходные данные'!$J$2:$J$606,'[1]Исходные данные'!$D$2:$D$606,"ЦППД",'[1]Исходные данные'!$F$2:$F$606,"45")</f>
        <v>0</v>
      </c>
      <c r="P39" s="11">
        <f>SUMIFS('[1]Исходные данные'!$I$2:$I$606,'[1]Исходные данные'!$D$2:$D$606,"ЭЦ",'[1]Исходные данные'!$F$2:$F$606,"45")</f>
        <v>0</v>
      </c>
      <c r="Q39" s="11">
        <f>SUMIFS('[1]Исходные данные'!$J$2:$J$606,'[1]Исходные данные'!$D$2:$D$606,"ЭЦ",'[1]Исходные данные'!$F$2:$F$606,"45")</f>
        <v>0</v>
      </c>
      <c r="R39" s="11">
        <f>SUMIFS('[1]Исходные данные'!$I$2:$I$606,'[1]Исходные данные'!$D$2:$D$606,"ОКС",'[1]Исходные данные'!$F$2:$F$606,"45")</f>
        <v>0</v>
      </c>
      <c r="S39" s="11">
        <f>SUMIFS('[1]Исходные данные'!$J$2:$J$606,'[1]Исходные данные'!$D$2:$D$606,"ОКС",'[1]Исходные данные'!$F$2:$F$606,"45")</f>
        <v>0</v>
      </c>
      <c r="T39" s="11">
        <f>SUMIFS('[1]Исходные данные'!$I$2:$I$606,'[1]Исходные данные'!$D$2:$D$606,"РСЦ",'[1]Исходные данные'!$F$2:$F$606,"45")</f>
        <v>0</v>
      </c>
      <c r="U39" s="11">
        <f>SUMIFS('[1]Исходные данные'!$J$2:$J$606,'[1]Исходные данные'!$D$2:$D$606,"РСЦ",'[1]Исходные данные'!$F$2:$F$606,"45")</f>
        <v>0</v>
      </c>
      <c r="V39" s="11">
        <f>SUMIFS('[1]Исходные данные'!$I$2:$I$606,'[1]Исходные данные'!$D$2:$D$606,"ЦИТС",'[1]Исходные данные'!$F$2:$F$606,"45")</f>
        <v>0</v>
      </c>
      <c r="W39" s="11">
        <f>SUMIFS('[1]Исходные данные'!$J$2:$J$606,'[1]Исходные данные'!$D$2:$D$606,"ЦИТС",'[1]Исходные данные'!$F$2:$F$606,"45")</f>
        <v>0</v>
      </c>
      <c r="X39" s="11">
        <f>SUMIFS('[1]Исходные данные'!$I$2:$I$606,'[1]Исходные данные'!$D$2:$D$606,"ПРЦЭО",'[1]Исходные данные'!$F$2:$F$606,"45")</f>
        <v>0</v>
      </c>
      <c r="Y39" s="11">
        <f>SUMIFS('[1]Исходные данные'!$J$2:$J$606,'[1]Исходные данные'!$D$2:$D$606,"ПРЦЭО",'[1]Исходные данные'!$F$2:$F$606,"45")</f>
        <v>0</v>
      </c>
      <c r="Z39" s="11">
        <f>SUMIFS('[1]Исходные данные'!$I$2:$I$606,'[1]Исходные данные'!$D$2:$D$606,"ГЦ",'[1]Исходные данные'!$F$2:$F$606,"45")</f>
        <v>0</v>
      </c>
      <c r="AA39" s="11">
        <f>SUMIFS('[1]Исходные данные'!$J$2:$J$606,'[1]Исходные данные'!$D$2:$D$606,"ГЦ",'[1]Исходные данные'!$F$2:$F$606,"45")</f>
        <v>0</v>
      </c>
      <c r="AB39" s="11">
        <f>SUMIFS('[1]Исходные данные'!$I$2:$I$606,'[1]Исходные данные'!$D$2:$D$606,"ЦПП",'[1]Исходные данные'!$F$2:$F$606,"45")</f>
        <v>0</v>
      </c>
      <c r="AC39" s="11">
        <f>SUMIFS('[1]Исходные данные'!$J$2:$J$606,'[1]Исходные данные'!$D$2:$D$606,"ЦПП",'[1]Исходные данные'!$F$2:$F$606,"45")</f>
        <v>0</v>
      </c>
      <c r="AD39" s="11">
        <f>SUMIFS('[1]Исходные данные'!$I$2:$I$606,'[1]Исходные данные'!$D$2:$D$606,"БМТС",'[1]Исходные данные'!$F$2:$F$606,"45")</f>
        <v>0</v>
      </c>
      <c r="AE39" s="11">
        <f>SUMIFS('[1]Исходные данные'!$J$2:$J$606,'[1]Исходные данные'!$D$2:$D$606,"БМТС",'[1]Исходные данные'!$F$2:$F$606,"45")</f>
        <v>0</v>
      </c>
      <c r="AF39" s="11">
        <f>SUMIFS('[1]Исходные данные'!$I$2:$I$606,'[1]Исходные данные'!$D$2:$D$606,"УБиПКРС-1",'[1]Исходные данные'!$F$2:$F$606,"45")</f>
        <v>0</v>
      </c>
      <c r="AG39" s="11">
        <f>SUMIFS('[1]Исходные данные'!$J$2:$J$606,'[1]Исходные данные'!$D$2:$D$606,"УБиПКРС-1",'[1]Исходные данные'!$F$2:$F$606,"45")</f>
        <v>0</v>
      </c>
      <c r="AH39" s="11">
        <f>SUMIFS('[1]Исходные данные'!$I$2:$I$606,'[1]Исходные данные'!$D$2:$D$606,"УБиПКРС-2",'[1]Исходные данные'!$F$2:$F$606,"45")</f>
        <v>0</v>
      </c>
      <c r="AI39" s="11">
        <f>SUMIFS('[1]Исходные данные'!$J$2:$J$606,'[1]Исходные данные'!$D$2:$D$606,"УБиПКРС-2",'[1]Исходные данные'!$F$2:$F$606,"45")</f>
        <v>0</v>
      </c>
      <c r="AJ39" s="11">
        <f>SUMIFS('[1]Исходные данные'!$I$2:$I$606,'[1]Исходные данные'!$D$2:$D$606,"ДТТ-1",'[1]Исходные данные'!$F$2:$F$606,"45")</f>
        <v>0</v>
      </c>
      <c r="AK39" s="11">
        <f>SUMIFS('[1]Исходные данные'!$J$2:$J$606,'[1]Исходные данные'!$D$2:$D$606,"ДТТ-1",'[1]Исходные данные'!$F$2:$F$606,"45")</f>
        <v>0</v>
      </c>
      <c r="AL39" s="11">
        <f>SUMIFS('[1]Исходные данные'!$I$2:$I$606,'[1]Исходные данные'!$D$2:$D$606,"ЦНИПР",'[1]Исходные данные'!$F$2:$F$606,"45")</f>
        <v>0</v>
      </c>
      <c r="AM39" s="11">
        <f>SUMIFS('[1]Исходные данные'!$J$2:$J$606,'[1]Исходные данные'!$D$2:$D$606,"ЦНИПР",'[1]Исходные данные'!$F$2:$F$606,"45")</f>
        <v>0</v>
      </c>
      <c r="AN39" s="11">
        <f>SUMIFS('[1]Исходные данные'!$I$2:$I$606,'[1]Исходные данные'!$D$2:$D$606,"ОБиПКРС",'[1]Исходные данные'!$F$2:$F$606,"45")</f>
        <v>0</v>
      </c>
      <c r="AO39" s="11">
        <f>SUMIFS('[1]Исходные данные'!$J$2:$J$606,'[1]Исходные данные'!$D$2:$D$606,"ОБиПКРС",'[1]Исходные данные'!$F$2:$F$606,"45")</f>
        <v>0</v>
      </c>
      <c r="AP39" s="11">
        <f>SUMIFS('[1]Исходные данные'!$I$2:$I$606,'[1]Исходные данные'!$D$2:$D$606,"ЦАП",'[1]Исходные данные'!$F$2:$F$606,"45")</f>
        <v>0</v>
      </c>
      <c r="AQ39" s="11">
        <f>SUMIFS('[1]Исходные данные'!$J$2:$J$606,'[1]Исходные данные'!$D$2:$D$606,"ЦАП",'[1]Исходные данные'!$F$2:$F$606,"45")</f>
        <v>0</v>
      </c>
      <c r="AR39" s="11">
        <f>SUMIFS('[1]Исходные данные'!$I$2:$I$606,'[1]Исходные данные'!$D$2:$D$606,"ГООС",'[1]Исходные данные'!$F$2:$F$606,"45")</f>
        <v>0</v>
      </c>
      <c r="AS39" s="11">
        <f>SUMIFS('[1]Исходные данные'!$J$2:$J$606,'[1]Исходные данные'!$D$2:$D$606,"ГООС",'[1]Исходные данные'!$F$2:$F$606,"45")</f>
        <v>0</v>
      </c>
      <c r="AT39" s="11">
        <f>SUMIFS('[1]Исходные данные'!$I$2:$I$606,'[1]Исходные данные'!$D$2:$D$606,"Ақкетік",'[1]Исходные данные'!$F$2:$F$606,"45")</f>
        <v>1</v>
      </c>
      <c r="AU39" s="11">
        <f>SUMIFS('[1]Исходные данные'!$J$2:$J$606,'[1]Исходные данные'!$D$2:$D$606,"Ақкетік",'[1]Исходные данные'!$F$2:$F$606,"45")</f>
        <v>0</v>
      </c>
      <c r="AV39" s="11">
        <f>SUMIFS('[1]Исходные данные'!$I$2:$I$606,'[1]Исходные данные'!$D$2:$D$606,"Нейрон",'[1]Исходные данные'!$F$2:$F$606,"45")</f>
        <v>0</v>
      </c>
      <c r="AW39" s="11">
        <f>SUMIFS('[1]Исходные данные'!$J$2:$J$606,'[1]Исходные данные'!$D$2:$D$606,"Нейрон",'[1]Исходные данные'!$F$2:$F$606,"45")</f>
        <v>0</v>
      </c>
      <c r="AX39" s="11">
        <f>SUMIFS('[1]Исходные данные'!$I$2:$I$606,'[1]Исходные данные'!$D$2:$D$606,"Бурение",'[1]Исходные данные'!$F$2:$F$606,"45")</f>
        <v>0</v>
      </c>
      <c r="AY39" s="11">
        <f>SUMIFS('[1]Исходные данные'!$J$2:$J$606,'[1]Исходные данные'!$D$2:$D$606,"Бурение",'[1]Исходные данные'!$F$2:$F$606,"45")</f>
        <v>0</v>
      </c>
      <c r="AZ39" s="11">
        <f>SUMIFS('[1]Исходные данные'!$I$2:$I$606,'[1]Исходные данные'!$D$2:$D$606,"ЦТВС",'[1]Исходные данные'!$F$2:$F$606,"45")</f>
        <v>0</v>
      </c>
      <c r="BA39" s="11">
        <f>SUMIFS('[1]Исходные данные'!$J$2:$J$606,'[1]Исходные данные'!$D$2:$D$606,"ЦТВС",'[1]Исходные данные'!$F$2:$F$606,"45")</f>
        <v>0</v>
      </c>
      <c r="BB39" s="11">
        <f>SUMIFS('[1]Исходные данные'!$I$2:$I$606,'[1]Исходные данные'!$D$2:$D$606,"ТБ",'[1]Исходные данные'!$F$2:$F$606,"45")</f>
        <v>0</v>
      </c>
      <c r="BC39" s="11">
        <f>SUMIFS('[1]Исходные данные'!$J$2:$J$606,'[1]Исходные данные'!$D$2:$D$606,"ТБ",'[1]Исходные данные'!$F$2:$F$606,"45")</f>
        <v>0</v>
      </c>
      <c r="BD39" s="11">
        <f>SUMIFS('[1]Исходные данные'!$I$2:$I$606,'[1]Исходные данные'!$D$2:$D$606,"ОТДН",'[1]Исходные данные'!$F$2:$F$606,"45")</f>
        <v>0</v>
      </c>
      <c r="BE39" s="11">
        <f>SUMIFS('[1]Исходные данные'!$J$2:$J$606,'[1]Исходные данные'!$D$2:$D$606,"ОТДН",'[1]Исходные данные'!$F$2:$F$606,"45")</f>
        <v>0</v>
      </c>
      <c r="BF39" s="11">
        <f>SUMIFS('[1]Исходные данные'!$I$2:$I$606,'[1]Исходные данные'!$D$2:$D$606,"ПЧ-Семсер",'[1]Исходные данные'!$F$2:$F$606,"45")</f>
        <v>0</v>
      </c>
      <c r="BG39" s="11">
        <f>SUMIFS('[1]Исходные данные'!$J$2:$J$606,'[1]Исходные данные'!$D$2:$D$606,"ПЧ-Семсер",'[1]Исходные данные'!$F$2:$F$606,"45")</f>
        <v>0</v>
      </c>
      <c r="BH39" s="11">
        <f>SUMIFS('[1]Исходные данные'!$I$2:$I$606,'[1]Исходные данные'!$D$2:$D$606,"ПРЦЭО(2)",'[1]Исходные данные'!$F$2:$F$606,"45")</f>
        <v>0</v>
      </c>
      <c r="BI39" s="11">
        <f>SUMIFS('[1]Исходные данные'!$J$2:$J$606,'[1]Исходные данные'!$D$2:$D$606,"ПРЦЭО(2)",'[1]Исходные данные'!$F$2:$F$606,"45")</f>
        <v>0</v>
      </c>
      <c r="BJ39" s="11">
        <f>SUMIFS('[1]Исходные данные'!$I$2:$I$606,'[1]Исходные данные'!$D$2:$D$606,"БД",'[1]Исходные данные'!$F$2:$F$606,"45")</f>
        <v>0</v>
      </c>
      <c r="BK39" s="11">
        <f>SUMIFS('[1]Исходные данные'!$J$2:$J$606,'[1]Исходные данные'!$D$2:$D$606,"БД",'[1]Исходные данные'!$F$2:$F$606,"45")</f>
        <v>0</v>
      </c>
      <c r="BL39" s="11">
        <f>SUMIFS('[1]Исходные данные'!$I$2:$I$606,'[1]Исходные данные'!$D$2:$D$606,"ОГиР",'[1]Исходные данные'!$F$2:$F$606,"45")</f>
        <v>0</v>
      </c>
      <c r="BM39" s="11">
        <f>SUMIFS('[1]Исходные данные'!$J$2:$J$606,'[1]Исходные данные'!$D$2:$D$606,"ОГиР",'[1]Исходные данные'!$F$2:$F$606,"45")</f>
        <v>0</v>
      </c>
      <c r="BN39" s="11">
        <f>SUMIFS('[1]Исходные данные'!$I$2:$I$606,'[1]Исходные данные'!$D$2:$D$606,"ГСРиВК",'[1]Исходные данные'!$F$2:$F$606,"45")</f>
        <v>0</v>
      </c>
      <c r="BO39" s="11">
        <f>SUMIFS('[1]Исходные данные'!$J$2:$J$606,'[1]Исходные данные'!$D$2:$D$606,"ГСРиВК",'[1]Исходные данные'!$F$2:$F$606,"45")</f>
        <v>0</v>
      </c>
      <c r="BP39" s="11">
        <f>SUMIFS('[1]Исходные данные'!$I$2:$I$606,'[1]Исходные данные'!$D$2:$D$606,"МПГУ",'[1]Исходные данные'!$F$2:$F$606,"45")</f>
        <v>0</v>
      </c>
      <c r="BQ39" s="11">
        <f>SUMIFS('[1]Исходные данные'!$J$2:$J$606,'[1]Исходные данные'!$D$2:$D$606,"МПГУ",'[1]Исходные данные'!$F$2:$F$606,"45")</f>
        <v>0</v>
      </c>
      <c r="BR39" s="11">
        <f>SUMIFS('[1]Исходные данные'!$I$2:$I$606,'[1]Исходные данные'!$D$2:$D$606,"БПО 2",'[1]Исходные данные'!$F$2:$F$606,"45")</f>
        <v>0</v>
      </c>
      <c r="BS39" s="11">
        <f>SUMIFS('[1]Исходные данные'!$J$2:$J$606,'[1]Исходные данные'!$D$2:$D$606,"БПО 2",'[1]Исходные данные'!$F$2:$F$606,"45")</f>
        <v>0</v>
      </c>
      <c r="BT39" s="11">
        <f>SUMIFS('[1]Исходные данные'!$I$2:$I$606,'[1]Исходные данные'!$D$2:$D$606,"ЛД",'[1]Исходные данные'!$F$2:$F$606,"45")</f>
        <v>0</v>
      </c>
      <c r="BU39" s="11">
        <f>SUMIFS('[1]Исходные данные'!$J$2:$J$606,'[1]Исходные данные'!$D$2:$D$606,"ЛД",'[1]Исходные данные'!$F$2:$F$606,"45")</f>
        <v>0</v>
      </c>
      <c r="BV39" s="11">
        <f>SUMIFS('[1]Исходные данные'!$I$2:$I$606,'[1]Исходные данные'!$D$2:$D$606,"Отделкадр",'[1]Исходные данные'!$F$2:$F$606,"45")</f>
        <v>0</v>
      </c>
      <c r="BW39" s="11">
        <f>SUMIFS('[1]Исходные данные'!$J$2:$J$606,'[1]Исходные данные'!$D$2:$D$606,"Отделкадр",'[1]Исходные данные'!$F$2:$F$606,"45")</f>
        <v>0</v>
      </c>
      <c r="BX39" s="11">
        <f>SUMIFS('[1]Исходные данные'!$I$2:$I$606,'[1]Исходные данные'!$D$2:$D$606,"ЦИТС.",'[1]Исходные данные'!$F$2:$F$606,"45")</f>
        <v>0</v>
      </c>
      <c r="BY39" s="11">
        <f>SUMIFS('[1]Исходные данные'!$J$2:$J$606,'[1]Исходные данные'!$D$2:$D$606,"ЦИТС.",'[1]Исходные данные'!$F$2:$F$606,"45")</f>
        <v>0</v>
      </c>
      <c r="BZ39" s="11">
        <f>SUMIFS('[1]Исходные данные'!$I$2:$I$606,'[1]Исходные данные'!$D$2:$D$606,"ОБО",'[1]Исходные данные'!$F$2:$F$606,"45")</f>
        <v>0</v>
      </c>
      <c r="CA39" s="11">
        <f>SUMIFS('[1]Исходные данные'!$J$2:$J$606,'[1]Исходные данные'!$D$2:$D$606,"ОБО",'[1]Исходные данные'!$F$2:$F$606,"45")</f>
        <v>0</v>
      </c>
      <c r="CB39" s="11">
        <f>SUMIFS('[1]Исходные данные'!$I$2:$I$606,'[1]Исходные данные'!$D$2:$D$606,"УЖЭО",'[1]Исходные данные'!$F$2:$F$606,"45")</f>
        <v>0</v>
      </c>
      <c r="CC39" s="11">
        <f>SUMIFS('[1]Исходные данные'!$J$2:$J$606,'[1]Исходные данные'!$D$2:$D$606,"УЖЭО",'[1]Исходные данные'!$F$2:$F$606,"45")</f>
        <v>0</v>
      </c>
      <c r="CD39" s="11">
        <f>SUMIFS('[1]Исходные данные'!$I$2:$I$606,'[1]Исходные данные'!$D$2:$D$606,"Мухтар/Хамит",'[1]Исходные данные'!$F$2:$F$606,"45")</f>
        <v>0</v>
      </c>
      <c r="CE39" s="11">
        <f>SUMIFS('[1]Исходные данные'!$J$2:$J$606,'[1]Исходные данные'!$D$2:$D$606,"Мухтар/Хамит",'[1]Исходные данные'!$F$2:$F$606,"45")</f>
        <v>0</v>
      </c>
      <c r="CF39" s="11">
        <f>SUMIFS('[1]Исходные данные'!$I$2:$I$606,'[1]Исходные данные'!$D$2:$D$606,"ОБО-    СБ",'[1]Исходные данные'!$F$2:$F$606,"45")</f>
        <v>0</v>
      </c>
      <c r="CG39" s="11">
        <f>SUMIFS('[1]Исходные данные'!$J$2:$J$606,'[1]Исходные данные'!$D$2:$D$606,"ОБО-    СБ",'[1]Исходные данные'!$F$2:$F$606,"45")</f>
        <v>0</v>
      </c>
      <c r="CH39" s="11">
        <f>SUMIFS('[1]Исходные данные'!$I$2:$I$606,'[1]Исходные данные'!$D$2:$D$606,"РМУ 2",'[1]Исходные данные'!$F$2:$F$606,"45")</f>
        <v>0</v>
      </c>
      <c r="CI39" s="11">
        <f>SUMIFS('[1]Исходные данные'!$J$2:$J$606,'[1]Исходные данные'!$D$2:$D$606,"РМУ 2",'[1]Исходные данные'!$F$2:$F$606,"45")</f>
        <v>0</v>
      </c>
      <c r="CJ39" s="11">
        <f>SUMIFS('[1]Исходные данные'!$I$2:$I$606,'[1]Исходные данные'!$D$2:$D$606,"ГАПиИТ",'[1]Исходные данные'!$F$2:$F$606,"45")</f>
        <v>0</v>
      </c>
      <c r="CK39" s="11">
        <f>SUMIFS('[1]Исходные данные'!$J$2:$J$606,'[1]Исходные данные'!$D$2:$D$606,"ГАПиИТ",'[1]Исходные данные'!$F$2:$F$606,"45")</f>
        <v>0</v>
      </c>
      <c r="CL39" s="11">
        <f>SUMIFS('[1]Исходные данные'!$I$2:$I$606,'[1]Исходные данные'!$D$2:$D$606,"ОМ",'[1]Исходные данные'!$F$2:$F$606,"45")</f>
        <v>0</v>
      </c>
      <c r="CM39" s="11">
        <f>SUMIFS('[1]Исходные данные'!$J$2:$J$606,'[1]Исходные данные'!$D$2:$D$606,"ОМ",'[1]Исходные данные'!$F$2:$F$606,"45")</f>
        <v>0</v>
      </c>
      <c r="CN39" s="11">
        <f>SUMIFS('[1]Исходные данные'!$I$2:$I$606,'[1]Исходные данные'!$D$2:$D$606,"оппоIR",'[1]Исходные данные'!$F$2:$F$606,"45")</f>
        <v>0</v>
      </c>
      <c r="CO39" s="11">
        <f>SUMIFS('[1]Исходные данные'!$J$2:$J$606,'[1]Исходные данные'!$D$2:$D$606,"оппоIR",'[1]Исходные данные'!$F$2:$F$606,"45")</f>
        <v>0</v>
      </c>
      <c r="CP39" s="11">
        <f>SUMIFS('[1]Исходные данные'!$I$2:$I$606,'[1]Исходные данные'!$D$2:$D$606,"Маркшейдер",'[1]Исходные данные'!$F$2:$F$606,"45")</f>
        <v>0</v>
      </c>
      <c r="CQ39" s="11">
        <f>SUMIFS('[1]Исходные данные'!$J$2:$J$606,'[1]Исходные данные'!$D$2:$D$606,"Маркшейдер",'[1]Исходные данные'!$F$2:$F$606,"45")</f>
        <v>0</v>
      </c>
      <c r="CR39" s="11">
        <f>SUMIFS('[1]Исходные данные'!$I$2:$I$606,'[1]Исходные данные'!$D$2:$D$606,"ПСО",'[1]Исходные данные'!$F$2:$F$606,"45")</f>
        <v>0</v>
      </c>
      <c r="CS39" s="11">
        <f>SUMIFS('[1]Исходные данные'!$J$2:$J$606,'[1]Исходные данные'!$D$2:$D$606,"ПСО",'[1]Исходные данные'!$F$2:$F$606,"45")</f>
        <v>0</v>
      </c>
    </row>
    <row r="40" spans="1:97" x14ac:dyDescent="0.25">
      <c r="A40" s="13" t="s">
        <v>125</v>
      </c>
      <c r="B40" s="11" t="s">
        <v>126</v>
      </c>
      <c r="C40" s="10">
        <f t="shared" si="0"/>
        <v>1</v>
      </c>
      <c r="D40" s="10">
        <f t="shared" si="1"/>
        <v>1</v>
      </c>
      <c r="E40" s="10">
        <f t="shared" si="1"/>
        <v>0</v>
      </c>
      <c r="F40" s="11">
        <f>SUMIFS('[1]Исходные данные'!$I$2:$I$606,'[1]Исходные данные'!$D$2:$D$606,"ЦДН-1",'[1]Исходные данные'!$F$2:$F$606,"48")</f>
        <v>0</v>
      </c>
      <c r="G40" s="11">
        <f>SUMIFS('[1]Исходные данные'!$J$2:$J$606,'[1]Исходные данные'!$D$2:$D$606,"ЦДН-1",'[1]Исходные данные'!$F$2:$F$606,"48")</f>
        <v>0</v>
      </c>
      <c r="H40" s="11">
        <f>SUMIFS('[1]Исходные данные'!$I$2:$I$606,'[1]Исходные данные'!$D$2:$D$606,"ЦДН-2",'[1]Исходные данные'!$F$2:$F$606,"48")</f>
        <v>0</v>
      </c>
      <c r="I40" s="11">
        <f>SUMIFS('[1]Исходные данные'!$J$2:$J$606,'[1]Исходные данные'!$D$2:$D$606,"ЦДН-2",'[1]Исходные данные'!$F$2:$F$606,"48")</f>
        <v>0</v>
      </c>
      <c r="J40" s="11">
        <f>SUMIFS('[1]Исходные данные'!$I$2:$I$606,'[1]Исходные данные'!$D$2:$D$606,"ЦДН-3",'[1]Исходные данные'!$F$2:$F$606,"48")</f>
        <v>0</v>
      </c>
      <c r="K40" s="11">
        <f>SUMIFS('[1]Исходные данные'!$J$2:$J$606,'[1]Исходные данные'!$D$2:$D$606,"ЦДН-3",'[1]Исходные данные'!$F$2:$F$606,"48")</f>
        <v>0</v>
      </c>
      <c r="L40" s="11">
        <f>SUMIFS('[1]Исходные данные'!$I$2:$I$606,'[1]Исходные данные'!$D$2:$D$606,"ЦППН",'[1]Исходные данные'!$F$2:$F$606,"48")</f>
        <v>0</v>
      </c>
      <c r="M40" s="11">
        <f>SUMIFS('[1]Исходные данные'!$J$2:$J$606,'[1]Исходные данные'!$D$2:$D$606,"ЦППН",'[1]Исходные данные'!$F$2:$F$606,"48")</f>
        <v>0</v>
      </c>
      <c r="N40" s="11">
        <f>SUMIFS('[1]Исходные данные'!$I$2:$I$606,'[1]Исходные данные'!$D$2:$D$606,"ЦППД",'[1]Исходные данные'!$F$2:$F$606,"48")</f>
        <v>0</v>
      </c>
      <c r="O40" s="11">
        <f>SUMIFS('[1]Исходные данные'!$J$2:$J$606,'[1]Исходные данные'!$D$2:$D$606,"ЦППД",'[1]Исходные данные'!$F$2:$F$606,"48")</f>
        <v>0</v>
      </c>
      <c r="P40" s="11">
        <f>SUMIFS('[1]Исходные данные'!$I$2:$I$606,'[1]Исходные данные'!$D$2:$D$606,"ЭЦ",'[1]Исходные данные'!$F$2:$F$606,"48")</f>
        <v>1</v>
      </c>
      <c r="Q40" s="11">
        <f>SUMIFS('[1]Исходные данные'!$J$2:$J$606,'[1]Исходные данные'!$D$2:$D$606,"ЭЦ",'[1]Исходные данные'!$F$2:$F$606,"48")</f>
        <v>0</v>
      </c>
      <c r="R40" s="11">
        <f>SUMIFS('[1]Исходные данные'!$I$2:$I$606,'[1]Исходные данные'!$D$2:$D$606,"ОКС",'[1]Исходные данные'!$F$2:$F$606,"48")</f>
        <v>0</v>
      </c>
      <c r="S40" s="11">
        <f>SUMIFS('[1]Исходные данные'!$J$2:$J$606,'[1]Исходные данные'!$D$2:$D$606,"ОКС",'[1]Исходные данные'!$F$2:$F$606,"48")</f>
        <v>0</v>
      </c>
      <c r="T40" s="11">
        <f>SUMIFS('[1]Исходные данные'!$I$2:$I$606,'[1]Исходные данные'!$D$2:$D$606,"РСЦ",'[1]Исходные данные'!$F$2:$F$606,"48")</f>
        <v>0</v>
      </c>
      <c r="U40" s="11">
        <f>SUMIFS('[1]Исходные данные'!$J$2:$J$606,'[1]Исходные данные'!$D$2:$D$606,"РСЦ",'[1]Исходные данные'!$F$2:$F$606,"48")</f>
        <v>0</v>
      </c>
      <c r="V40" s="11">
        <f>SUMIFS('[1]Исходные данные'!$I$2:$I$606,'[1]Исходные данные'!$D$2:$D$606,"ЦИТС",'[1]Исходные данные'!$F$2:$F$606,"48")</f>
        <v>0</v>
      </c>
      <c r="W40" s="11">
        <f>SUMIFS('[1]Исходные данные'!$J$2:$J$606,'[1]Исходные данные'!$D$2:$D$606,"ЦИТС",'[1]Исходные данные'!$F$2:$F$606,"48")</f>
        <v>0</v>
      </c>
      <c r="X40" s="11">
        <f>SUMIFS('[1]Исходные данные'!$I$2:$I$606,'[1]Исходные данные'!$D$2:$D$606,"ПРЦЭО",'[1]Исходные данные'!$F$2:$F$606,"48")</f>
        <v>0</v>
      </c>
      <c r="Y40" s="11">
        <f>SUMIFS('[1]Исходные данные'!$J$2:$J$606,'[1]Исходные данные'!$D$2:$D$606,"ПРЦЭО",'[1]Исходные данные'!$F$2:$F$606,"48")</f>
        <v>0</v>
      </c>
      <c r="Z40" s="11">
        <f>SUMIFS('[1]Исходные данные'!$I$2:$I$606,'[1]Исходные данные'!$D$2:$D$606,"ГЦ",'[1]Исходные данные'!$F$2:$F$606,"48")</f>
        <v>0</v>
      </c>
      <c r="AA40" s="11">
        <f>SUMIFS('[1]Исходные данные'!$J$2:$J$606,'[1]Исходные данные'!$D$2:$D$606,"ГЦ",'[1]Исходные данные'!$F$2:$F$606,"48")</f>
        <v>0</v>
      </c>
      <c r="AB40" s="11">
        <f>SUMIFS('[1]Исходные данные'!$I$2:$I$606,'[1]Исходные данные'!$D$2:$D$606,"ЦПП",'[1]Исходные данные'!$F$2:$F$606,"48")</f>
        <v>0</v>
      </c>
      <c r="AC40" s="11">
        <f>SUMIFS('[1]Исходные данные'!$J$2:$J$606,'[1]Исходные данные'!$D$2:$D$606,"ЦПП",'[1]Исходные данные'!$F$2:$F$606,"48")</f>
        <v>0</v>
      </c>
      <c r="AD40" s="11">
        <f>SUMIFS('[1]Исходные данные'!$I$2:$I$606,'[1]Исходные данные'!$D$2:$D$606,"БМТС",'[1]Исходные данные'!$F$2:$F$606,"48")</f>
        <v>0</v>
      </c>
      <c r="AE40" s="11">
        <f>SUMIFS('[1]Исходные данные'!$J$2:$J$606,'[1]Исходные данные'!$D$2:$D$606,"БМТС",'[1]Исходные данные'!$F$2:$F$606,"48")</f>
        <v>0</v>
      </c>
      <c r="AF40" s="11">
        <f>SUMIFS('[1]Исходные данные'!$I$2:$I$606,'[1]Исходные данные'!$D$2:$D$606,"УБиПКРС-1",'[1]Исходные данные'!$F$2:$F$606,"48")</f>
        <v>0</v>
      </c>
      <c r="AG40" s="11">
        <f>SUMIFS('[1]Исходные данные'!$J$2:$J$606,'[1]Исходные данные'!$D$2:$D$606,"УБиПКРС-1",'[1]Исходные данные'!$F$2:$F$606,"48")</f>
        <v>0</v>
      </c>
      <c r="AH40" s="11">
        <f>SUMIFS('[1]Исходные данные'!$I$2:$I$606,'[1]Исходные данные'!$D$2:$D$606,"УБиПКРС-2",'[1]Исходные данные'!$F$2:$F$606,"48")</f>
        <v>0</v>
      </c>
      <c r="AI40" s="11">
        <f>SUMIFS('[1]Исходные данные'!$J$2:$J$606,'[1]Исходные данные'!$D$2:$D$606,"УБиПКРС-2",'[1]Исходные данные'!$F$2:$F$606,"48")</f>
        <v>0</v>
      </c>
      <c r="AJ40" s="11">
        <f>SUMIFS('[1]Исходные данные'!$I$2:$I$606,'[1]Исходные данные'!$D$2:$D$606,"ДТТ-1",'[1]Исходные данные'!$F$2:$F$606,"48")</f>
        <v>0</v>
      </c>
      <c r="AK40" s="11">
        <f>SUMIFS('[1]Исходные данные'!$J$2:$J$606,'[1]Исходные данные'!$D$2:$D$606,"ДТТ-1",'[1]Исходные данные'!$F$2:$F$606,"48")</f>
        <v>0</v>
      </c>
      <c r="AL40" s="11">
        <f>SUMIFS('[1]Исходные данные'!$I$2:$I$606,'[1]Исходные данные'!$D$2:$D$606,"ЦНИПР",'[1]Исходные данные'!$F$2:$F$606,"48")</f>
        <v>0</v>
      </c>
      <c r="AM40" s="11">
        <f>SUMIFS('[1]Исходные данные'!$J$2:$J$606,'[1]Исходные данные'!$D$2:$D$606,"ЦНИПР",'[1]Исходные данные'!$F$2:$F$606,"48")</f>
        <v>0</v>
      </c>
      <c r="AN40" s="11">
        <f>SUMIFS('[1]Исходные данные'!$I$2:$I$606,'[1]Исходные данные'!$D$2:$D$606,"ОБиПКРС",'[1]Исходные данные'!$F$2:$F$606,"48")</f>
        <v>0</v>
      </c>
      <c r="AO40" s="11">
        <f>SUMIFS('[1]Исходные данные'!$J$2:$J$606,'[1]Исходные данные'!$D$2:$D$606,"ОБиПКРС",'[1]Исходные данные'!$F$2:$F$606,"48")</f>
        <v>0</v>
      </c>
      <c r="AP40" s="11">
        <f>SUMIFS('[1]Исходные данные'!$I$2:$I$606,'[1]Исходные данные'!$D$2:$D$606,"ЦАП",'[1]Исходные данные'!$F$2:$F$606,"48")</f>
        <v>0</v>
      </c>
      <c r="AQ40" s="11">
        <f>SUMIFS('[1]Исходные данные'!$J$2:$J$606,'[1]Исходные данные'!$D$2:$D$606,"ЦАП",'[1]Исходные данные'!$F$2:$F$606,"48")</f>
        <v>0</v>
      </c>
      <c r="AR40" s="11">
        <f>SUMIFS('[1]Исходные данные'!$I$2:$I$606,'[1]Исходные данные'!$D$2:$D$606,"ГООС",'[1]Исходные данные'!$F$2:$F$606,"48")</f>
        <v>0</v>
      </c>
      <c r="AS40" s="11">
        <f>SUMIFS('[1]Исходные данные'!$J$2:$J$606,'[1]Исходные данные'!$D$2:$D$606,"ГООС",'[1]Исходные данные'!$F$2:$F$606,"48")</f>
        <v>0</v>
      </c>
      <c r="AT40" s="11">
        <f>SUMIFS('[1]Исходные данные'!$I$2:$I$606,'[1]Исходные данные'!$D$2:$D$606,"Ақкетік",'[1]Исходные данные'!$F$2:$F$606,"48")</f>
        <v>0</v>
      </c>
      <c r="AU40" s="11">
        <f>SUMIFS('[1]Исходные данные'!$J$2:$J$606,'[1]Исходные данные'!$D$2:$D$606,"Ақкетік",'[1]Исходные данные'!$F$2:$F$606,"48")</f>
        <v>0</v>
      </c>
      <c r="AV40" s="11">
        <f>SUMIFS('[1]Исходные данные'!$I$2:$I$606,'[1]Исходные данные'!$D$2:$D$606,"Нейрон",'[1]Исходные данные'!$F$2:$F$606,"48")</f>
        <v>0</v>
      </c>
      <c r="AW40" s="11">
        <f>SUMIFS('[1]Исходные данные'!$J$2:$J$606,'[1]Исходные данные'!$D$2:$D$606,"Нейрон",'[1]Исходные данные'!$F$2:$F$606,"48")</f>
        <v>0</v>
      </c>
      <c r="AX40" s="11">
        <f>SUMIFS('[1]Исходные данные'!$I$2:$I$606,'[1]Исходные данные'!$D$2:$D$606,"Бурение",'[1]Исходные данные'!$F$2:$F$606,"48")</f>
        <v>0</v>
      </c>
      <c r="AY40" s="11">
        <f>SUMIFS('[1]Исходные данные'!$J$2:$J$606,'[1]Исходные данные'!$D$2:$D$606,"Бурение",'[1]Исходные данные'!$F$2:$F$606,"48")</f>
        <v>0</v>
      </c>
      <c r="AZ40" s="11">
        <f>SUMIFS('[1]Исходные данные'!$I$2:$I$606,'[1]Исходные данные'!$D$2:$D$606,"ЦТВС",'[1]Исходные данные'!$F$2:$F$606,"48")</f>
        <v>0</v>
      </c>
      <c r="BA40" s="11">
        <f>SUMIFS('[1]Исходные данные'!$J$2:$J$606,'[1]Исходные данные'!$D$2:$D$606,"ЦТВС",'[1]Исходные данные'!$F$2:$F$606,"48")</f>
        <v>0</v>
      </c>
      <c r="BB40" s="11">
        <f>SUMIFS('[1]Исходные данные'!$I$2:$I$606,'[1]Исходные данные'!$D$2:$D$606,"ТБ",'[1]Исходные данные'!$F$2:$F$606,"48")</f>
        <v>0</v>
      </c>
      <c r="BC40" s="11">
        <f>SUMIFS('[1]Исходные данные'!$J$2:$J$606,'[1]Исходные данные'!$D$2:$D$606,"ТБ",'[1]Исходные данные'!$F$2:$F$606,"48")</f>
        <v>0</v>
      </c>
      <c r="BD40" s="11">
        <f>SUMIFS('[1]Исходные данные'!$I$2:$I$606,'[1]Исходные данные'!$D$2:$D$606,"ОТДН",'[1]Исходные данные'!$F$2:$F$606,"48")</f>
        <v>0</v>
      </c>
      <c r="BE40" s="11">
        <f>SUMIFS('[1]Исходные данные'!$J$2:$J$606,'[1]Исходные данные'!$D$2:$D$606,"ОТДН",'[1]Исходные данные'!$F$2:$F$606,"48")</f>
        <v>0</v>
      </c>
      <c r="BF40" s="11">
        <f>SUMIFS('[1]Исходные данные'!$I$2:$I$606,'[1]Исходные данные'!$D$2:$D$606,"ПЧ-Семсер",'[1]Исходные данные'!$F$2:$F$606,"48")</f>
        <v>0</v>
      </c>
      <c r="BG40" s="11">
        <f>SUMIFS('[1]Исходные данные'!$J$2:$J$606,'[1]Исходные данные'!$D$2:$D$606,"ПЧ-Семсер",'[1]Исходные данные'!$F$2:$F$606,"48")</f>
        <v>0</v>
      </c>
      <c r="BH40" s="11">
        <f>SUMIFS('[1]Исходные данные'!$I$2:$I$606,'[1]Исходные данные'!$D$2:$D$606,"ПРЦЭО(2)",'[1]Исходные данные'!$F$2:$F$606,"48")</f>
        <v>0</v>
      </c>
      <c r="BI40" s="11">
        <f>SUMIFS('[1]Исходные данные'!$J$2:$J$606,'[1]Исходные данные'!$D$2:$D$606,"ПРЦЭО(2)",'[1]Исходные данные'!$F$2:$F$606,"48")</f>
        <v>0</v>
      </c>
      <c r="BJ40" s="11">
        <f>SUMIFS('[1]Исходные данные'!$I$2:$I$606,'[1]Исходные данные'!$D$2:$D$606,"БД",'[1]Исходные данные'!$F$2:$F$606,"48")</f>
        <v>0</v>
      </c>
      <c r="BK40" s="11">
        <f>SUMIFS('[1]Исходные данные'!$J$2:$J$606,'[1]Исходные данные'!$D$2:$D$606,"БД",'[1]Исходные данные'!$F$2:$F$606,"48")</f>
        <v>0</v>
      </c>
      <c r="BL40" s="11">
        <f>SUMIFS('[1]Исходные данные'!$I$2:$I$606,'[1]Исходные данные'!$D$2:$D$606,"ОГиР",'[1]Исходные данные'!$F$2:$F$606,"48")</f>
        <v>0</v>
      </c>
      <c r="BM40" s="11">
        <f>SUMIFS('[1]Исходные данные'!$J$2:$J$606,'[1]Исходные данные'!$D$2:$D$606,"ОГиР",'[1]Исходные данные'!$F$2:$F$606,"48")</f>
        <v>0</v>
      </c>
      <c r="BN40" s="11">
        <f>SUMIFS('[1]Исходные данные'!$I$2:$I$606,'[1]Исходные данные'!$D$2:$D$606,"ГСРиВК",'[1]Исходные данные'!$F$2:$F$606,"48")</f>
        <v>0</v>
      </c>
      <c r="BO40" s="11">
        <f>SUMIFS('[1]Исходные данные'!$J$2:$J$606,'[1]Исходные данные'!$D$2:$D$606,"ГСРиВК",'[1]Исходные данные'!$F$2:$F$606,"48")</f>
        <v>0</v>
      </c>
      <c r="BP40" s="11">
        <f>SUMIFS('[1]Исходные данные'!$I$2:$I$606,'[1]Исходные данные'!$D$2:$D$606,"МПГУ",'[1]Исходные данные'!$F$2:$F$606,"48")</f>
        <v>0</v>
      </c>
      <c r="BQ40" s="11">
        <f>SUMIFS('[1]Исходные данные'!$J$2:$J$606,'[1]Исходные данные'!$D$2:$D$606,"МПГУ",'[1]Исходные данные'!$F$2:$F$606,"48")</f>
        <v>0</v>
      </c>
      <c r="BR40" s="11">
        <f>SUMIFS('[1]Исходные данные'!$I$2:$I$606,'[1]Исходные данные'!$D$2:$D$606,"БПО 2",'[1]Исходные данные'!$F$2:$F$606,"48")</f>
        <v>0</v>
      </c>
      <c r="BS40" s="11">
        <f>SUMIFS('[1]Исходные данные'!$J$2:$J$606,'[1]Исходные данные'!$D$2:$D$606,"БПО 2",'[1]Исходные данные'!$F$2:$F$606,"48")</f>
        <v>0</v>
      </c>
      <c r="BT40" s="11">
        <f>SUMIFS('[1]Исходные данные'!$I$2:$I$606,'[1]Исходные данные'!$D$2:$D$606,"ЛД",'[1]Исходные данные'!$F$2:$F$606,"48")</f>
        <v>0</v>
      </c>
      <c r="BU40" s="11">
        <f>SUMIFS('[1]Исходные данные'!$J$2:$J$606,'[1]Исходные данные'!$D$2:$D$606,"ЛД",'[1]Исходные данные'!$F$2:$F$606,"48")</f>
        <v>0</v>
      </c>
      <c r="BV40" s="11">
        <f>SUMIFS('[1]Исходные данные'!$I$2:$I$606,'[1]Исходные данные'!$D$2:$D$606,"Отделкадр",'[1]Исходные данные'!$F$2:$F$606,"48")</f>
        <v>0</v>
      </c>
      <c r="BW40" s="11">
        <f>SUMIFS('[1]Исходные данные'!$J$2:$J$606,'[1]Исходные данные'!$D$2:$D$606,"Отделкадр",'[1]Исходные данные'!$F$2:$F$606,"48")</f>
        <v>0</v>
      </c>
      <c r="BX40" s="11">
        <f>SUMIFS('[1]Исходные данные'!$I$2:$I$606,'[1]Исходные данные'!$D$2:$D$606,"ЦИТС.",'[1]Исходные данные'!$F$2:$F$606,"48")</f>
        <v>0</v>
      </c>
      <c r="BY40" s="11">
        <f>SUMIFS('[1]Исходные данные'!$J$2:$J$606,'[1]Исходные данные'!$D$2:$D$606,"ЦИТС.",'[1]Исходные данные'!$F$2:$F$606,"48")</f>
        <v>0</v>
      </c>
      <c r="BZ40" s="11">
        <f>SUMIFS('[1]Исходные данные'!$I$2:$I$606,'[1]Исходные данные'!$D$2:$D$606,"ОБО",'[1]Исходные данные'!$F$2:$F$606,"48")</f>
        <v>0</v>
      </c>
      <c r="CA40" s="11">
        <f>SUMIFS('[1]Исходные данные'!$J$2:$J$606,'[1]Исходные данные'!$D$2:$D$606,"ОБО",'[1]Исходные данные'!$F$2:$F$606,"48")</f>
        <v>0</v>
      </c>
      <c r="CB40" s="11">
        <f>SUMIFS('[1]Исходные данные'!$I$2:$I$606,'[1]Исходные данные'!$D$2:$D$606,"УЖЭО",'[1]Исходные данные'!$F$2:$F$606,"48")</f>
        <v>0</v>
      </c>
      <c r="CC40" s="11">
        <f>SUMIFS('[1]Исходные данные'!$J$2:$J$606,'[1]Исходные данные'!$D$2:$D$606,"УЖЭО",'[1]Исходные данные'!$F$2:$F$606,"48")</f>
        <v>0</v>
      </c>
      <c r="CD40" s="11">
        <f>SUMIFS('[1]Исходные данные'!$I$2:$I$606,'[1]Исходные данные'!$D$2:$D$606,"Мухтар/Хамит",'[1]Исходные данные'!$F$2:$F$606,"48")</f>
        <v>0</v>
      </c>
      <c r="CE40" s="11">
        <f>SUMIFS('[1]Исходные данные'!$J$2:$J$606,'[1]Исходные данные'!$D$2:$D$606,"Мухтар/Хамит",'[1]Исходные данные'!$F$2:$F$606,"48")</f>
        <v>0</v>
      </c>
      <c r="CF40" s="11">
        <f>SUMIFS('[1]Исходные данные'!$I$2:$I$606,'[1]Исходные данные'!$D$2:$D$606,"ОБО-    СБ",'[1]Исходные данные'!$F$2:$F$606,"48")</f>
        <v>0</v>
      </c>
      <c r="CG40" s="11">
        <f>SUMIFS('[1]Исходные данные'!$J$2:$J$606,'[1]Исходные данные'!$D$2:$D$606,"ОБО-    СБ",'[1]Исходные данные'!$F$2:$F$606,"48")</f>
        <v>0</v>
      </c>
      <c r="CH40" s="11">
        <f>SUMIFS('[1]Исходные данные'!$I$2:$I$606,'[1]Исходные данные'!$D$2:$D$606,"РМУ 2",'[1]Исходные данные'!$F$2:$F$606,"48")</f>
        <v>0</v>
      </c>
      <c r="CI40" s="11">
        <f>SUMIFS('[1]Исходные данные'!$J$2:$J$606,'[1]Исходные данные'!$D$2:$D$606,"РМУ 2",'[1]Исходные данные'!$F$2:$F$606,"48")</f>
        <v>0</v>
      </c>
      <c r="CJ40" s="11">
        <f>SUMIFS('[1]Исходные данные'!$I$2:$I$606,'[1]Исходные данные'!$D$2:$D$606,"ГАПиИТ",'[1]Исходные данные'!$F$2:$F$606,"48")</f>
        <v>0</v>
      </c>
      <c r="CK40" s="11">
        <f>SUMIFS('[1]Исходные данные'!$J$2:$J$606,'[1]Исходные данные'!$D$2:$D$606,"ГАПиИТ",'[1]Исходные данные'!$F$2:$F$606,"48")</f>
        <v>0</v>
      </c>
      <c r="CL40" s="11">
        <f>SUMIFS('[1]Исходные данные'!$I$2:$I$606,'[1]Исходные данные'!$D$2:$D$606,"ОМ",'[1]Исходные данные'!$F$2:$F$606,"48")</f>
        <v>0</v>
      </c>
      <c r="CM40" s="11">
        <f>SUMIFS('[1]Исходные данные'!$J$2:$J$606,'[1]Исходные данные'!$D$2:$D$606,"ОМ",'[1]Исходные данные'!$F$2:$F$606,"48")</f>
        <v>0</v>
      </c>
      <c r="CN40" s="11">
        <f>SUMIFS('[1]Исходные данные'!$I$2:$I$606,'[1]Исходные данные'!$D$2:$D$606,"оппоIR",'[1]Исходные данные'!$F$2:$F$606,"48")</f>
        <v>0</v>
      </c>
      <c r="CO40" s="11">
        <f>SUMIFS('[1]Исходные данные'!$J$2:$J$606,'[1]Исходные данные'!$D$2:$D$606,"оппоIR",'[1]Исходные данные'!$F$2:$F$606,"48")</f>
        <v>0</v>
      </c>
      <c r="CP40" s="11">
        <f>SUMIFS('[1]Исходные данные'!$I$2:$I$606,'[1]Исходные данные'!$D$2:$D$606,"Маркшейдер",'[1]Исходные данные'!$F$2:$F$606,"48")</f>
        <v>0</v>
      </c>
      <c r="CQ40" s="11">
        <f>SUMIFS('[1]Исходные данные'!$J$2:$J$606,'[1]Исходные данные'!$D$2:$D$606,"Маркшейдер",'[1]Исходные данные'!$F$2:$F$606,"48")</f>
        <v>0</v>
      </c>
      <c r="CR40" s="11">
        <f>SUMIFS('[1]Исходные данные'!$I$2:$I$606,'[1]Исходные данные'!$D$2:$D$606,"ПСО",'[1]Исходные данные'!$F$2:$F$606,"48")</f>
        <v>0</v>
      </c>
      <c r="CS40" s="11">
        <f>SUMIFS('[1]Исходные данные'!$J$2:$J$606,'[1]Исходные данные'!$D$2:$D$606,"ПСО",'[1]Исходные данные'!$F$2:$F$606,"48")</f>
        <v>0</v>
      </c>
    </row>
    <row r="41" spans="1:97" x14ac:dyDescent="0.25">
      <c r="A41" s="13" t="s">
        <v>127</v>
      </c>
      <c r="B41" s="11" t="s">
        <v>128</v>
      </c>
      <c r="C41" s="10">
        <f t="shared" si="0"/>
        <v>1</v>
      </c>
      <c r="D41" s="10">
        <f t="shared" si="1"/>
        <v>1</v>
      </c>
      <c r="E41" s="10">
        <f t="shared" si="1"/>
        <v>0</v>
      </c>
      <c r="F41" s="11">
        <f>SUMIFS('[1]Исходные данные'!$I$2:$I$606,'[1]Исходные данные'!$D$2:$D$606,"ЦДН-1",'[1]Исходные данные'!$F$2:$F$606,"18")</f>
        <v>0</v>
      </c>
      <c r="G41" s="11">
        <f>SUMIFS('[1]Исходные данные'!$J$2:$J$606,'[1]Исходные данные'!$D$2:$D$606,"ЦДН-1",'[1]Исходные данные'!$F$2:$F$606,"18")</f>
        <v>0</v>
      </c>
      <c r="H41" s="11">
        <f>SUMIFS('[1]Исходные данные'!$I$2:$I$606,'[1]Исходные данные'!$D$2:$D$606,"ЦДН-2",'[1]Исходные данные'!$F$2:$F$606,"18")</f>
        <v>0</v>
      </c>
      <c r="I41" s="11">
        <f>SUMIFS('[1]Исходные данные'!$J$2:$J$606,'[1]Исходные данные'!$D$2:$D$606,"ЦДН-2",'[1]Исходные данные'!$F$2:$F$606,"18")</f>
        <v>0</v>
      </c>
      <c r="J41" s="11">
        <f>SUMIFS('[1]Исходные данные'!$I$2:$I$606,'[1]Исходные данные'!$D$2:$D$606,"ЦДН-3",'[1]Исходные данные'!$F$2:$F$606,"18")</f>
        <v>0</v>
      </c>
      <c r="K41" s="11">
        <f>SUMIFS('[1]Исходные данные'!$J$2:$J$606,'[1]Исходные данные'!$D$2:$D$606,"ЦДН-3",'[1]Исходные данные'!$F$2:$F$606,"18")</f>
        <v>0</v>
      </c>
      <c r="L41" s="11">
        <f>SUMIFS('[1]Исходные данные'!$I$2:$I$606,'[1]Исходные данные'!$D$2:$D$606,"ЦППН",'[1]Исходные данные'!$F$2:$F$606,"18")</f>
        <v>0</v>
      </c>
      <c r="M41" s="11">
        <f>SUMIFS('[1]Исходные данные'!$J$2:$J$606,'[1]Исходные данные'!$D$2:$D$606,"ЦППН",'[1]Исходные данные'!$F$2:$F$606,"18")</f>
        <v>0</v>
      </c>
      <c r="N41" s="11">
        <f>SUMIFS('[1]Исходные данные'!$I$2:$I$606,'[1]Исходные данные'!$D$2:$D$606,"ЦППД",'[1]Исходные данные'!$F$2:$F$606,"18")</f>
        <v>0</v>
      </c>
      <c r="O41" s="11">
        <f>SUMIFS('[1]Исходные данные'!$J$2:$J$606,'[1]Исходные данные'!$D$2:$D$606,"ЦППД",'[1]Исходные данные'!$F$2:$F$606,"18")</f>
        <v>0</v>
      </c>
      <c r="P41" s="11">
        <f>SUMIFS('[1]Исходные данные'!$I$2:$I$606,'[1]Исходные данные'!$D$2:$D$606,"ЭЦ",'[1]Исходные данные'!$F$2:$F$606,"18")</f>
        <v>0</v>
      </c>
      <c r="Q41" s="11">
        <f>SUMIFS('[1]Исходные данные'!$J$2:$J$606,'[1]Исходные данные'!$D$2:$D$606,"ЭЦ",'[1]Исходные данные'!$F$2:$F$606,"18")</f>
        <v>0</v>
      </c>
      <c r="R41" s="11">
        <f>SUMIFS('[1]Исходные данные'!$I$2:$I$606,'[1]Исходные данные'!$D$2:$D$606,"ОКС",'[1]Исходные данные'!$F$2:$F$606,"18")</f>
        <v>0</v>
      </c>
      <c r="S41" s="11">
        <f>SUMIFS('[1]Исходные данные'!$J$2:$J$606,'[1]Исходные данные'!$D$2:$D$606,"ОКС",'[1]Исходные данные'!$F$2:$F$606,"18")</f>
        <v>0</v>
      </c>
      <c r="T41" s="11">
        <f>SUMIFS('[1]Исходные данные'!$I$2:$I$606,'[1]Исходные данные'!$D$2:$D$606,"РСЦ",'[1]Исходные данные'!$F$2:$F$606,"18")</f>
        <v>0</v>
      </c>
      <c r="U41" s="11">
        <f>SUMIFS('[1]Исходные данные'!$J$2:$J$606,'[1]Исходные данные'!$D$2:$D$606,"РСЦ",'[1]Исходные данные'!$F$2:$F$606,"18")</f>
        <v>0</v>
      </c>
      <c r="V41" s="11">
        <f>SUMIFS('[1]Исходные данные'!$I$2:$I$606,'[1]Исходные данные'!$D$2:$D$606,"ЦИТС",'[1]Исходные данные'!$F$2:$F$606,"18")</f>
        <v>0</v>
      </c>
      <c r="W41" s="11">
        <f>SUMIFS('[1]Исходные данные'!$J$2:$J$606,'[1]Исходные данные'!$D$2:$D$606,"ЦИТС",'[1]Исходные данные'!$F$2:$F$606,"18")</f>
        <v>0</v>
      </c>
      <c r="X41" s="11">
        <f>SUMIFS('[1]Исходные данные'!$I$2:$I$606,'[1]Исходные данные'!$D$2:$D$606,"ПРЦЭО",'[1]Исходные данные'!$F$2:$F$606,"18")</f>
        <v>1</v>
      </c>
      <c r="Y41" s="11">
        <f>SUMIFS('[1]Исходные данные'!$J$2:$J$606,'[1]Исходные данные'!$D$2:$D$606,"ПРЦЭО",'[1]Исходные данные'!$F$2:$F$606,"18")</f>
        <v>0</v>
      </c>
      <c r="Z41" s="11">
        <f>SUMIFS('[1]Исходные данные'!$I$2:$I$606,'[1]Исходные данные'!$D$2:$D$606,"ГЦ",'[1]Исходные данные'!$F$2:$F$606,"18")</f>
        <v>0</v>
      </c>
      <c r="AA41" s="11">
        <f>SUMIFS('[1]Исходные данные'!$J$2:$J$606,'[1]Исходные данные'!$D$2:$D$606,"ГЦ",'[1]Исходные данные'!$F$2:$F$606,"18")</f>
        <v>0</v>
      </c>
      <c r="AB41" s="11">
        <f>SUMIFS('[1]Исходные данные'!$I$2:$I$606,'[1]Исходные данные'!$D$2:$D$606,"ЦПП",'[1]Исходные данные'!$F$2:$F$606,"18")</f>
        <v>0</v>
      </c>
      <c r="AC41" s="11">
        <f>SUMIFS('[1]Исходные данные'!$J$2:$J$606,'[1]Исходные данные'!$D$2:$D$606,"ЦПП",'[1]Исходные данные'!$F$2:$F$606,"18")</f>
        <v>0</v>
      </c>
      <c r="AD41" s="11">
        <f>SUMIFS('[1]Исходные данные'!$I$2:$I$606,'[1]Исходные данные'!$D$2:$D$606,"БМТС",'[1]Исходные данные'!$F$2:$F$606,"18")</f>
        <v>0</v>
      </c>
      <c r="AE41" s="11">
        <f>SUMIFS('[1]Исходные данные'!$J$2:$J$606,'[1]Исходные данные'!$D$2:$D$606,"БМТС",'[1]Исходные данные'!$F$2:$F$606,"18")</f>
        <v>0</v>
      </c>
      <c r="AF41" s="11">
        <f>SUMIFS('[1]Исходные данные'!$I$2:$I$606,'[1]Исходные данные'!$D$2:$D$606,"УБиПКРС-1",'[1]Исходные данные'!$F$2:$F$606,"18")</f>
        <v>0</v>
      </c>
      <c r="AG41" s="11">
        <f>SUMIFS('[1]Исходные данные'!$J$2:$J$606,'[1]Исходные данные'!$D$2:$D$606,"УБиПКРС-1",'[1]Исходные данные'!$F$2:$F$606,"18")</f>
        <v>0</v>
      </c>
      <c r="AH41" s="11">
        <f>SUMIFS('[1]Исходные данные'!$I$2:$I$606,'[1]Исходные данные'!$D$2:$D$606,"УБиПКРС-2",'[1]Исходные данные'!$F$2:$F$606,"18")</f>
        <v>0</v>
      </c>
      <c r="AI41" s="11">
        <f>SUMIFS('[1]Исходные данные'!$J$2:$J$606,'[1]Исходные данные'!$D$2:$D$606,"УБиПКРС-2",'[1]Исходные данные'!$F$2:$F$606,"18")</f>
        <v>0</v>
      </c>
      <c r="AJ41" s="11">
        <f>SUMIFS('[1]Исходные данные'!$I$2:$I$606,'[1]Исходные данные'!$D$2:$D$606,"ДТТ-1",'[1]Исходные данные'!$F$2:$F$606,"18")</f>
        <v>0</v>
      </c>
      <c r="AK41" s="11">
        <f>SUMIFS('[1]Исходные данные'!$J$2:$J$606,'[1]Исходные данные'!$D$2:$D$606,"ДТТ-1",'[1]Исходные данные'!$F$2:$F$606,"18")</f>
        <v>0</v>
      </c>
      <c r="AL41" s="11">
        <f>SUMIFS('[1]Исходные данные'!$I$2:$I$606,'[1]Исходные данные'!$D$2:$D$606,"ЦНИПР",'[1]Исходные данные'!$F$2:$F$606,"18")</f>
        <v>0</v>
      </c>
      <c r="AM41" s="11">
        <f>SUMIFS('[1]Исходные данные'!$J$2:$J$606,'[1]Исходные данные'!$D$2:$D$606,"ЦНИПР",'[1]Исходные данные'!$F$2:$F$606,"18")</f>
        <v>0</v>
      </c>
      <c r="AN41" s="11">
        <f>SUMIFS('[1]Исходные данные'!$I$2:$I$606,'[1]Исходные данные'!$D$2:$D$606,"ОБиПКРС",'[1]Исходные данные'!$F$2:$F$606,"18")</f>
        <v>0</v>
      </c>
      <c r="AO41" s="11">
        <f>SUMIFS('[1]Исходные данные'!$J$2:$J$606,'[1]Исходные данные'!$D$2:$D$606,"ОБиПКРС",'[1]Исходные данные'!$F$2:$F$606,"18")</f>
        <v>0</v>
      </c>
      <c r="AP41" s="11">
        <f>SUMIFS('[1]Исходные данные'!$I$2:$I$606,'[1]Исходные данные'!$D$2:$D$606,"ЦАП",'[1]Исходные данные'!$F$2:$F$606,"18")</f>
        <v>0</v>
      </c>
      <c r="AQ41" s="11">
        <f>SUMIFS('[1]Исходные данные'!$J$2:$J$606,'[1]Исходные данные'!$D$2:$D$606,"ЦАП",'[1]Исходные данные'!$F$2:$F$606,"18")</f>
        <v>0</v>
      </c>
      <c r="AR41" s="11">
        <f>SUMIFS('[1]Исходные данные'!$I$2:$I$606,'[1]Исходные данные'!$D$2:$D$606,"ГООС",'[1]Исходные данные'!$F$2:$F$606,"18")</f>
        <v>0</v>
      </c>
      <c r="AS41" s="11">
        <f>SUMIFS('[1]Исходные данные'!$J$2:$J$606,'[1]Исходные данные'!$D$2:$D$606,"ГООС",'[1]Исходные данные'!$F$2:$F$606,"18")</f>
        <v>0</v>
      </c>
      <c r="AT41" s="11">
        <f>SUMIFS('[1]Исходные данные'!$I$2:$I$606,'[1]Исходные данные'!$D$2:$D$606,"Ақкетік",'[1]Исходные данные'!$F$2:$F$606,"18")</f>
        <v>0</v>
      </c>
      <c r="AU41" s="11">
        <f>SUMIFS('[1]Исходные данные'!$J$2:$J$606,'[1]Исходные данные'!$D$2:$D$606,"Ақкетік",'[1]Исходные данные'!$F$2:$F$606,"18")</f>
        <v>0</v>
      </c>
      <c r="AV41" s="11">
        <f>SUMIFS('[1]Исходные данные'!$I$2:$I$606,'[1]Исходные данные'!$D$2:$D$606,"Нейрон",'[1]Исходные данные'!$F$2:$F$606,"18")</f>
        <v>0</v>
      </c>
      <c r="AW41" s="11">
        <f>SUMIFS('[1]Исходные данные'!$J$2:$J$606,'[1]Исходные данные'!$D$2:$D$606,"Нейрон",'[1]Исходные данные'!$F$2:$F$606,"18")</f>
        <v>0</v>
      </c>
      <c r="AX41" s="11">
        <f>SUMIFS('[1]Исходные данные'!$I$2:$I$606,'[1]Исходные данные'!$D$2:$D$606,"Бурение",'[1]Исходные данные'!$F$2:$F$606,"18")</f>
        <v>0</v>
      </c>
      <c r="AY41" s="11">
        <f>SUMIFS('[1]Исходные данные'!$J$2:$J$606,'[1]Исходные данные'!$D$2:$D$606,"Бурение",'[1]Исходные данные'!$F$2:$F$606,"18")</f>
        <v>0</v>
      </c>
      <c r="AZ41" s="11">
        <f>SUMIFS('[1]Исходные данные'!$I$2:$I$606,'[1]Исходные данные'!$D$2:$D$606,"ЦТВС",'[1]Исходные данные'!$F$2:$F$606,"18")</f>
        <v>0</v>
      </c>
      <c r="BA41" s="11">
        <f>SUMIFS('[1]Исходные данные'!$J$2:$J$606,'[1]Исходные данные'!$D$2:$D$606,"ЦТВС",'[1]Исходные данные'!$F$2:$F$606,"18")</f>
        <v>0</v>
      </c>
      <c r="BB41" s="11">
        <f>SUMIFS('[1]Исходные данные'!$I$2:$I$606,'[1]Исходные данные'!$D$2:$D$606,"ТБ",'[1]Исходные данные'!$F$2:$F$606,"18")</f>
        <v>0</v>
      </c>
      <c r="BC41" s="11">
        <f>SUMIFS('[1]Исходные данные'!$J$2:$J$606,'[1]Исходные данные'!$D$2:$D$606,"ТБ",'[1]Исходные данные'!$F$2:$F$606,"18")</f>
        <v>0</v>
      </c>
      <c r="BD41" s="11">
        <f>SUMIFS('[1]Исходные данные'!$I$2:$I$606,'[1]Исходные данные'!$D$2:$D$606,"ОТДН",'[1]Исходные данные'!$F$2:$F$606,"18")</f>
        <v>0</v>
      </c>
      <c r="BE41" s="11">
        <f>SUMIFS('[1]Исходные данные'!$J$2:$J$606,'[1]Исходные данные'!$D$2:$D$606,"ОТДН",'[1]Исходные данные'!$F$2:$F$606,"18")</f>
        <v>0</v>
      </c>
      <c r="BF41" s="11">
        <f>SUMIFS('[1]Исходные данные'!$I$2:$I$606,'[1]Исходные данные'!$D$2:$D$606,"ПЧ-Семсер",'[1]Исходные данные'!$F$2:$F$606,"18")</f>
        <v>0</v>
      </c>
      <c r="BG41" s="11">
        <f>SUMIFS('[1]Исходные данные'!$J$2:$J$606,'[1]Исходные данные'!$D$2:$D$606,"ПЧ-Семсер",'[1]Исходные данные'!$F$2:$F$606,"18")</f>
        <v>0</v>
      </c>
      <c r="BH41" s="11">
        <f>SUMIFS('[1]Исходные данные'!$I$2:$I$606,'[1]Исходные данные'!$D$2:$D$606,"ПРЦЭО(2)",'[1]Исходные данные'!$F$2:$F$606,"18")</f>
        <v>0</v>
      </c>
      <c r="BI41" s="11">
        <f>SUMIFS('[1]Исходные данные'!$J$2:$J$606,'[1]Исходные данные'!$D$2:$D$606,"ПРЦЭО(2)",'[1]Исходные данные'!$F$2:$F$606,"18")</f>
        <v>0</v>
      </c>
      <c r="BJ41" s="11">
        <f>SUMIFS('[1]Исходные данные'!$I$2:$I$606,'[1]Исходные данные'!$D$2:$D$606,"БД",'[1]Исходные данные'!$F$2:$F$606,"18")</f>
        <v>0</v>
      </c>
      <c r="BK41" s="11">
        <f>SUMIFS('[1]Исходные данные'!$J$2:$J$606,'[1]Исходные данные'!$D$2:$D$606,"БД",'[1]Исходные данные'!$F$2:$F$606,"18")</f>
        <v>0</v>
      </c>
      <c r="BL41" s="11">
        <f>SUMIFS('[1]Исходные данные'!$I$2:$I$606,'[1]Исходные данные'!$D$2:$D$606,"ОГиР",'[1]Исходные данные'!$F$2:$F$606,"18")</f>
        <v>0</v>
      </c>
      <c r="BM41" s="11">
        <f>SUMIFS('[1]Исходные данные'!$J$2:$J$606,'[1]Исходные данные'!$D$2:$D$606,"ОГиР",'[1]Исходные данные'!$F$2:$F$606,"18")</f>
        <v>0</v>
      </c>
      <c r="BN41" s="11">
        <f>SUMIFS('[1]Исходные данные'!$I$2:$I$606,'[1]Исходные данные'!$D$2:$D$606,"ГСРиВК",'[1]Исходные данные'!$F$2:$F$606,"18")</f>
        <v>0</v>
      </c>
      <c r="BO41" s="11">
        <f>SUMIFS('[1]Исходные данные'!$J$2:$J$606,'[1]Исходные данные'!$D$2:$D$606,"ГСРиВК",'[1]Исходные данные'!$F$2:$F$606,"18")</f>
        <v>0</v>
      </c>
      <c r="BP41" s="11">
        <f>SUMIFS('[1]Исходные данные'!$I$2:$I$606,'[1]Исходные данные'!$D$2:$D$606,"МПГУ",'[1]Исходные данные'!$F$2:$F$606,"18")</f>
        <v>0</v>
      </c>
      <c r="BQ41" s="11">
        <f>SUMIFS('[1]Исходные данные'!$J$2:$J$606,'[1]Исходные данные'!$D$2:$D$606,"МПГУ",'[1]Исходные данные'!$F$2:$F$606,"18")</f>
        <v>0</v>
      </c>
      <c r="BR41" s="11">
        <f>SUMIFS('[1]Исходные данные'!$I$2:$I$606,'[1]Исходные данные'!$D$2:$D$606,"БПО 2",'[1]Исходные данные'!$F$2:$F$606,"18")</f>
        <v>0</v>
      </c>
      <c r="BS41" s="11">
        <f>SUMIFS('[1]Исходные данные'!$J$2:$J$606,'[1]Исходные данные'!$D$2:$D$606,"БПО 2",'[1]Исходные данные'!$F$2:$F$606,"18")</f>
        <v>0</v>
      </c>
      <c r="BT41" s="11">
        <f>SUMIFS('[1]Исходные данные'!$I$2:$I$606,'[1]Исходные данные'!$D$2:$D$606,"ЛД",'[1]Исходные данные'!$F$2:$F$606,"18")</f>
        <v>0</v>
      </c>
      <c r="BU41" s="11">
        <f>SUMIFS('[1]Исходные данные'!$J$2:$J$606,'[1]Исходные данные'!$D$2:$D$606,"ЛД",'[1]Исходные данные'!$F$2:$F$606,"18")</f>
        <v>0</v>
      </c>
      <c r="BV41" s="11">
        <f>SUMIFS('[1]Исходные данные'!$I$2:$I$606,'[1]Исходные данные'!$D$2:$D$606,"Отделкадр",'[1]Исходные данные'!$F$2:$F$606,"18")</f>
        <v>0</v>
      </c>
      <c r="BW41" s="11">
        <f>SUMIFS('[1]Исходные данные'!$J$2:$J$606,'[1]Исходные данные'!$D$2:$D$606,"Отделкадр",'[1]Исходные данные'!$F$2:$F$606,"18")</f>
        <v>0</v>
      </c>
      <c r="BX41" s="11">
        <f>SUMIFS('[1]Исходные данные'!$I$2:$I$606,'[1]Исходные данные'!$D$2:$D$606,"ЦИТС.",'[1]Исходные данные'!$F$2:$F$606,"18")</f>
        <v>0</v>
      </c>
      <c r="BY41" s="11">
        <f>SUMIFS('[1]Исходные данные'!$J$2:$J$606,'[1]Исходные данные'!$D$2:$D$606,"ЦИТС.",'[1]Исходные данные'!$F$2:$F$606,"18")</f>
        <v>0</v>
      </c>
      <c r="BZ41" s="11">
        <f>SUMIFS('[1]Исходные данные'!$I$2:$I$606,'[1]Исходные данные'!$D$2:$D$606,"ОБО",'[1]Исходные данные'!$F$2:$F$606,"18")</f>
        <v>0</v>
      </c>
      <c r="CA41" s="11">
        <f>SUMIFS('[1]Исходные данные'!$J$2:$J$606,'[1]Исходные данные'!$D$2:$D$606,"ОБО",'[1]Исходные данные'!$F$2:$F$606,"18")</f>
        <v>0</v>
      </c>
      <c r="CB41" s="11">
        <f>SUMIFS('[1]Исходные данные'!$I$2:$I$606,'[1]Исходные данные'!$D$2:$D$606,"УЖЭО",'[1]Исходные данные'!$F$2:$F$606,"18")</f>
        <v>0</v>
      </c>
      <c r="CC41" s="11">
        <f>SUMIFS('[1]Исходные данные'!$J$2:$J$606,'[1]Исходные данные'!$D$2:$D$606,"УЖЭО",'[1]Исходные данные'!$F$2:$F$606,"18")</f>
        <v>0</v>
      </c>
      <c r="CD41" s="11">
        <f>SUMIFS('[1]Исходные данные'!$I$2:$I$606,'[1]Исходные данные'!$D$2:$D$606,"Мухтар/Хамит",'[1]Исходные данные'!$F$2:$F$606,"18")</f>
        <v>0</v>
      </c>
      <c r="CE41" s="11">
        <f>SUMIFS('[1]Исходные данные'!$J$2:$J$606,'[1]Исходные данные'!$D$2:$D$606,"Мухтар/Хамит",'[1]Исходные данные'!$F$2:$F$606,"18")</f>
        <v>0</v>
      </c>
      <c r="CF41" s="11">
        <f>SUMIFS('[1]Исходные данные'!$I$2:$I$606,'[1]Исходные данные'!$D$2:$D$606,"ОБО-    СБ",'[1]Исходные данные'!$F$2:$F$606,"18")</f>
        <v>0</v>
      </c>
      <c r="CG41" s="11">
        <f>SUMIFS('[1]Исходные данные'!$J$2:$J$606,'[1]Исходные данные'!$D$2:$D$606,"ОБО-    СБ",'[1]Исходные данные'!$F$2:$F$606,"18")</f>
        <v>0</v>
      </c>
      <c r="CH41" s="11">
        <f>SUMIFS('[1]Исходные данные'!$I$2:$I$606,'[1]Исходные данные'!$D$2:$D$606,"РМУ 2",'[1]Исходные данные'!$F$2:$F$606,"18")</f>
        <v>0</v>
      </c>
      <c r="CI41" s="11">
        <f>SUMIFS('[1]Исходные данные'!$J$2:$J$606,'[1]Исходные данные'!$D$2:$D$606,"РМУ 2",'[1]Исходные данные'!$F$2:$F$606,"18")</f>
        <v>0</v>
      </c>
      <c r="CJ41" s="11">
        <f>SUMIFS('[1]Исходные данные'!$I$2:$I$606,'[1]Исходные данные'!$D$2:$D$606,"ГАПиИТ",'[1]Исходные данные'!$F$2:$F$606,"18")</f>
        <v>0</v>
      </c>
      <c r="CK41" s="11">
        <f>SUMIFS('[1]Исходные данные'!$J$2:$J$606,'[1]Исходные данные'!$D$2:$D$606,"ГАПиИТ",'[1]Исходные данные'!$F$2:$F$606,"18")</f>
        <v>0</v>
      </c>
      <c r="CL41" s="11">
        <f>SUMIFS('[1]Исходные данные'!$I$2:$I$606,'[1]Исходные данные'!$D$2:$D$606,"ОМ",'[1]Исходные данные'!$F$2:$F$606,"18")</f>
        <v>0</v>
      </c>
      <c r="CM41" s="11">
        <f>SUMIFS('[1]Исходные данные'!$J$2:$J$606,'[1]Исходные данные'!$D$2:$D$606,"ОМ",'[1]Исходные данные'!$F$2:$F$606,"18")</f>
        <v>0</v>
      </c>
      <c r="CN41" s="11">
        <f>SUMIFS('[1]Исходные данные'!$I$2:$I$606,'[1]Исходные данные'!$D$2:$D$606,"оппоIR",'[1]Исходные данные'!$F$2:$F$606,"18")</f>
        <v>0</v>
      </c>
      <c r="CO41" s="11">
        <f>SUMIFS('[1]Исходные данные'!$J$2:$J$606,'[1]Исходные данные'!$D$2:$D$606,"оппоIR",'[1]Исходные данные'!$F$2:$F$606,"18")</f>
        <v>0</v>
      </c>
      <c r="CP41" s="11">
        <f>SUMIFS('[1]Исходные данные'!$I$2:$I$606,'[1]Исходные данные'!$D$2:$D$606,"Маркшейдер",'[1]Исходные данные'!$F$2:$F$606,"18")</f>
        <v>0</v>
      </c>
      <c r="CQ41" s="11">
        <f>SUMIFS('[1]Исходные данные'!$J$2:$J$606,'[1]Исходные данные'!$D$2:$D$606,"Маркшейдер",'[1]Исходные данные'!$F$2:$F$606,"18")</f>
        <v>0</v>
      </c>
      <c r="CR41" s="11">
        <f>SUMIFS('[1]Исходные данные'!$I$2:$I$606,'[1]Исходные данные'!$D$2:$D$606,"ПСО",'[1]Исходные данные'!$F$2:$F$606,"18")</f>
        <v>0</v>
      </c>
      <c r="CS41" s="11">
        <f>SUMIFS('[1]Исходные данные'!$J$2:$J$606,'[1]Исходные данные'!$D$2:$D$606,"ПСО",'[1]Исходные данные'!$F$2:$F$606,"18")</f>
        <v>0</v>
      </c>
    </row>
    <row r="42" spans="1:97" x14ac:dyDescent="0.25">
      <c r="A42" s="13" t="s">
        <v>129</v>
      </c>
      <c r="B42" s="11" t="s">
        <v>130</v>
      </c>
      <c r="C42" s="10">
        <f t="shared" si="0"/>
        <v>1</v>
      </c>
      <c r="D42" s="10">
        <f t="shared" si="1"/>
        <v>1</v>
      </c>
      <c r="E42" s="10">
        <f t="shared" si="1"/>
        <v>0</v>
      </c>
      <c r="F42" s="11">
        <f>SUMIFS('[1]Исходные данные'!$I$2:$I$606,'[1]Исходные данные'!$D$2:$D$606,"ЦДН-1",'[1]Исходные данные'!$F$2:$F$606,"32")</f>
        <v>0</v>
      </c>
      <c r="G42" s="11">
        <f>SUMIFS('[1]Исходные данные'!$J$2:$J$606,'[1]Исходные данные'!$D$2:$D$606,"ЦДН-1",'[1]Исходные данные'!$F$2:$F$606,"32")</f>
        <v>0</v>
      </c>
      <c r="H42" s="11">
        <f>SUMIFS('[1]Исходные данные'!$I$2:$I$606,'[1]Исходные данные'!$D$2:$D$606,"ЦДН-2",'[1]Исходные данные'!$F$2:$F$606,"32")</f>
        <v>0</v>
      </c>
      <c r="I42" s="11">
        <f>SUMIFS('[1]Исходные данные'!$J$2:$J$606,'[1]Исходные данные'!$D$2:$D$606,"ЦДН-2",'[1]Исходные данные'!$F$2:$F$606,"32")</f>
        <v>0</v>
      </c>
      <c r="J42" s="11">
        <f>SUMIFS('[1]Исходные данные'!$I$2:$I$606,'[1]Исходные данные'!$D$2:$D$606,"ЦДН-3",'[1]Исходные данные'!$F$2:$F$606,"32")</f>
        <v>0</v>
      </c>
      <c r="K42" s="11">
        <f>SUMIFS('[1]Исходные данные'!$J$2:$J$606,'[1]Исходные данные'!$D$2:$D$606,"ЦДН-3",'[1]Исходные данные'!$F$2:$F$606,"32")</f>
        <v>0</v>
      </c>
      <c r="L42" s="11">
        <f>SUMIFS('[1]Исходные данные'!$I$2:$I$606,'[1]Исходные данные'!$D$2:$D$606,"ЦППН",'[1]Исходные данные'!$F$2:$F$606,"32")</f>
        <v>0</v>
      </c>
      <c r="M42" s="11">
        <f>SUMIFS('[1]Исходные данные'!$J$2:$J$606,'[1]Исходные данные'!$D$2:$D$606,"ЦППН",'[1]Исходные данные'!$F$2:$F$606,"32")</f>
        <v>0</v>
      </c>
      <c r="N42" s="11">
        <f>SUMIFS('[1]Исходные данные'!$I$2:$I$606,'[1]Исходные данные'!$D$2:$D$606,"ЦППД",'[1]Исходные данные'!$F$2:$F$606,"32")</f>
        <v>0</v>
      </c>
      <c r="O42" s="11">
        <f>SUMIFS('[1]Исходные данные'!$J$2:$J$606,'[1]Исходные данные'!$D$2:$D$606,"ЦППД",'[1]Исходные данные'!$F$2:$F$606,"32")</f>
        <v>0</v>
      </c>
      <c r="P42" s="11">
        <f>SUMIFS('[1]Исходные данные'!$I$2:$I$606,'[1]Исходные данные'!$D$2:$D$606,"ЭЦ",'[1]Исходные данные'!$F$2:$F$606,"32")</f>
        <v>0</v>
      </c>
      <c r="Q42" s="11">
        <f>SUMIFS('[1]Исходные данные'!$J$2:$J$606,'[1]Исходные данные'!$D$2:$D$606,"ЭЦ",'[1]Исходные данные'!$F$2:$F$606,"32")</f>
        <v>0</v>
      </c>
      <c r="R42" s="11">
        <f>SUMIFS('[1]Исходные данные'!$I$2:$I$606,'[1]Исходные данные'!$D$2:$D$606,"ОКС",'[1]Исходные данные'!$F$2:$F$606,"32")</f>
        <v>1</v>
      </c>
      <c r="S42" s="11">
        <f>SUMIFS('[1]Исходные данные'!$J$2:$J$606,'[1]Исходные данные'!$D$2:$D$606,"ОКС",'[1]Исходные данные'!$F$2:$F$606,"32")</f>
        <v>0</v>
      </c>
      <c r="T42" s="11">
        <f>SUMIFS('[1]Исходные данные'!$I$2:$I$606,'[1]Исходные данные'!$D$2:$D$606,"РСЦ",'[1]Исходные данные'!$F$2:$F$606,"32")</f>
        <v>0</v>
      </c>
      <c r="U42" s="11">
        <f>SUMIFS('[1]Исходные данные'!$J$2:$J$606,'[1]Исходные данные'!$D$2:$D$606,"РСЦ",'[1]Исходные данные'!$F$2:$F$606,"32")</f>
        <v>0</v>
      </c>
      <c r="V42" s="11">
        <f>SUMIFS('[1]Исходные данные'!$I$2:$I$606,'[1]Исходные данные'!$D$2:$D$606,"ЦИТС",'[1]Исходные данные'!$F$2:$F$606,"32")</f>
        <v>0</v>
      </c>
      <c r="W42" s="11">
        <f>SUMIFS('[1]Исходные данные'!$J$2:$J$606,'[1]Исходные данные'!$D$2:$D$606,"ЦИТС",'[1]Исходные данные'!$F$2:$F$606,"32")</f>
        <v>0</v>
      </c>
      <c r="X42" s="11">
        <f>SUMIFS('[1]Исходные данные'!$I$2:$I$606,'[1]Исходные данные'!$D$2:$D$606,"ПРЦЭО",'[1]Исходные данные'!$F$2:$F$606,"32")</f>
        <v>0</v>
      </c>
      <c r="Y42" s="11">
        <f>SUMIFS('[1]Исходные данные'!$J$2:$J$606,'[1]Исходные данные'!$D$2:$D$606,"ПРЦЭО",'[1]Исходные данные'!$F$2:$F$606,"32")</f>
        <v>0</v>
      </c>
      <c r="Z42" s="11">
        <f>SUMIFS('[1]Исходные данные'!$I$2:$I$606,'[1]Исходные данные'!$D$2:$D$606,"ГЦ",'[1]Исходные данные'!$F$2:$F$606,"32")</f>
        <v>0</v>
      </c>
      <c r="AA42" s="11">
        <f>SUMIFS('[1]Исходные данные'!$J$2:$J$606,'[1]Исходные данные'!$D$2:$D$606,"ГЦ",'[1]Исходные данные'!$F$2:$F$606,"32")</f>
        <v>0</v>
      </c>
      <c r="AB42" s="11">
        <f>SUMIFS('[1]Исходные данные'!$I$2:$I$606,'[1]Исходные данные'!$D$2:$D$606,"ЦПП",'[1]Исходные данные'!$F$2:$F$606,"32")</f>
        <v>0</v>
      </c>
      <c r="AC42" s="11">
        <f>SUMIFS('[1]Исходные данные'!$J$2:$J$606,'[1]Исходные данные'!$D$2:$D$606,"ЦПП",'[1]Исходные данные'!$F$2:$F$606,"32")</f>
        <v>0</v>
      </c>
      <c r="AD42" s="11">
        <f>SUMIFS('[1]Исходные данные'!$I$2:$I$606,'[1]Исходные данные'!$D$2:$D$606,"БМТС",'[1]Исходные данные'!$F$2:$F$606,"32")</f>
        <v>0</v>
      </c>
      <c r="AE42" s="11">
        <f>SUMIFS('[1]Исходные данные'!$J$2:$J$606,'[1]Исходные данные'!$D$2:$D$606,"БМТС",'[1]Исходные данные'!$F$2:$F$606,"32")</f>
        <v>0</v>
      </c>
      <c r="AF42" s="11">
        <f>SUMIFS('[1]Исходные данные'!$I$2:$I$606,'[1]Исходные данные'!$D$2:$D$606,"УБиПКРС-1",'[1]Исходные данные'!$F$2:$F$606,"32")</f>
        <v>0</v>
      </c>
      <c r="AG42" s="11">
        <f>SUMIFS('[1]Исходные данные'!$J$2:$J$606,'[1]Исходные данные'!$D$2:$D$606,"УБиПКРС-1",'[1]Исходные данные'!$F$2:$F$606,"32")</f>
        <v>0</v>
      </c>
      <c r="AH42" s="11">
        <f>SUMIFS('[1]Исходные данные'!$I$2:$I$606,'[1]Исходные данные'!$D$2:$D$606,"УБиПКРС-2",'[1]Исходные данные'!$F$2:$F$606,"32")</f>
        <v>0</v>
      </c>
      <c r="AI42" s="11">
        <f>SUMIFS('[1]Исходные данные'!$J$2:$J$606,'[1]Исходные данные'!$D$2:$D$606,"УБиПКРС-2",'[1]Исходные данные'!$F$2:$F$606,"32")</f>
        <v>0</v>
      </c>
      <c r="AJ42" s="11">
        <f>SUMIFS('[1]Исходные данные'!$I$2:$I$606,'[1]Исходные данные'!$D$2:$D$606,"ДТТ-1",'[1]Исходные данные'!$F$2:$F$606,"32")</f>
        <v>0</v>
      </c>
      <c r="AK42" s="11">
        <f>SUMIFS('[1]Исходные данные'!$J$2:$J$606,'[1]Исходные данные'!$D$2:$D$606,"ДТТ-1",'[1]Исходные данные'!$F$2:$F$606,"32")</f>
        <v>0</v>
      </c>
      <c r="AL42" s="11">
        <f>SUMIFS('[1]Исходные данные'!$I$2:$I$606,'[1]Исходные данные'!$D$2:$D$606,"ЦНИПР",'[1]Исходные данные'!$F$2:$F$606,"32")</f>
        <v>0</v>
      </c>
      <c r="AM42" s="11">
        <f>SUMIFS('[1]Исходные данные'!$J$2:$J$606,'[1]Исходные данные'!$D$2:$D$606,"ЦНИПР",'[1]Исходные данные'!$F$2:$F$606,"32")</f>
        <v>0</v>
      </c>
      <c r="AN42" s="11">
        <f>SUMIFS('[1]Исходные данные'!$I$2:$I$606,'[1]Исходные данные'!$D$2:$D$606,"ОБиПКРС",'[1]Исходные данные'!$F$2:$F$606,"32")</f>
        <v>0</v>
      </c>
      <c r="AO42" s="11">
        <f>SUMIFS('[1]Исходные данные'!$J$2:$J$606,'[1]Исходные данные'!$D$2:$D$606,"ОБиПКРС",'[1]Исходные данные'!$F$2:$F$606,"32")</f>
        <v>0</v>
      </c>
      <c r="AP42" s="11">
        <f>SUMIFS('[1]Исходные данные'!$I$2:$I$606,'[1]Исходные данные'!$D$2:$D$606,"ЦАП",'[1]Исходные данные'!$F$2:$F$606,"32")</f>
        <v>0</v>
      </c>
      <c r="AQ42" s="11">
        <f>SUMIFS('[1]Исходные данные'!$J$2:$J$606,'[1]Исходные данные'!$D$2:$D$606,"ЦАП",'[1]Исходные данные'!$F$2:$F$606,"32")</f>
        <v>0</v>
      </c>
      <c r="AR42" s="11">
        <f>SUMIFS('[1]Исходные данные'!$I$2:$I$606,'[1]Исходные данные'!$D$2:$D$606,"ГООС",'[1]Исходные данные'!$F$2:$F$606,"32")</f>
        <v>0</v>
      </c>
      <c r="AS42" s="11">
        <f>SUMIFS('[1]Исходные данные'!$J$2:$J$606,'[1]Исходные данные'!$D$2:$D$606,"ГООС",'[1]Исходные данные'!$F$2:$F$606,"32")</f>
        <v>0</v>
      </c>
      <c r="AT42" s="11">
        <f>SUMIFS('[1]Исходные данные'!$I$2:$I$606,'[1]Исходные данные'!$D$2:$D$606,"Ақкетік",'[1]Исходные данные'!$F$2:$F$606,"32")</f>
        <v>0</v>
      </c>
      <c r="AU42" s="11">
        <f>SUMIFS('[1]Исходные данные'!$J$2:$J$606,'[1]Исходные данные'!$D$2:$D$606,"Ақкетік",'[1]Исходные данные'!$F$2:$F$606,"32")</f>
        <v>0</v>
      </c>
      <c r="AV42" s="11">
        <f>SUMIFS('[1]Исходные данные'!$I$2:$I$606,'[1]Исходные данные'!$D$2:$D$606,"Нейрон",'[1]Исходные данные'!$F$2:$F$606,"32")</f>
        <v>0</v>
      </c>
      <c r="AW42" s="11">
        <f>SUMIFS('[1]Исходные данные'!$J$2:$J$606,'[1]Исходные данные'!$D$2:$D$606,"Нейрон",'[1]Исходные данные'!$F$2:$F$606,"32")</f>
        <v>0</v>
      </c>
      <c r="AX42" s="11">
        <f>SUMIFS('[1]Исходные данные'!$I$2:$I$606,'[1]Исходные данные'!$D$2:$D$606,"Бурение",'[1]Исходные данные'!$F$2:$F$606,"32")</f>
        <v>0</v>
      </c>
      <c r="AY42" s="11">
        <f>SUMIFS('[1]Исходные данные'!$J$2:$J$606,'[1]Исходные данные'!$D$2:$D$606,"Бурение",'[1]Исходные данные'!$F$2:$F$606,"32")</f>
        <v>0</v>
      </c>
      <c r="AZ42" s="11">
        <f>SUMIFS('[1]Исходные данные'!$I$2:$I$606,'[1]Исходные данные'!$D$2:$D$606,"ЦТВС",'[1]Исходные данные'!$F$2:$F$606,"32")</f>
        <v>0</v>
      </c>
      <c r="BA42" s="11">
        <f>SUMIFS('[1]Исходные данные'!$J$2:$J$606,'[1]Исходные данные'!$D$2:$D$606,"ЦТВС",'[1]Исходные данные'!$F$2:$F$606,"32")</f>
        <v>0</v>
      </c>
      <c r="BB42" s="11">
        <f>SUMIFS('[1]Исходные данные'!$I$2:$I$606,'[1]Исходные данные'!$D$2:$D$606,"ТБ",'[1]Исходные данные'!$F$2:$F$606,"32")</f>
        <v>0</v>
      </c>
      <c r="BC42" s="11">
        <f>SUMIFS('[1]Исходные данные'!$J$2:$J$606,'[1]Исходные данные'!$D$2:$D$606,"ТБ",'[1]Исходные данные'!$F$2:$F$606,"32")</f>
        <v>0</v>
      </c>
      <c r="BD42" s="11">
        <f>SUMIFS('[1]Исходные данные'!$I$2:$I$606,'[1]Исходные данные'!$D$2:$D$606,"ОТДН",'[1]Исходные данные'!$F$2:$F$606,"32")</f>
        <v>0</v>
      </c>
      <c r="BE42" s="11">
        <f>SUMIFS('[1]Исходные данные'!$J$2:$J$606,'[1]Исходные данные'!$D$2:$D$606,"ОТДН",'[1]Исходные данные'!$F$2:$F$606,"32")</f>
        <v>0</v>
      </c>
      <c r="BF42" s="11">
        <f>SUMIFS('[1]Исходные данные'!$I$2:$I$606,'[1]Исходные данные'!$D$2:$D$606,"ПЧ-Семсер",'[1]Исходные данные'!$F$2:$F$606,"32")</f>
        <v>0</v>
      </c>
      <c r="BG42" s="11">
        <f>SUMIFS('[1]Исходные данные'!$J$2:$J$606,'[1]Исходные данные'!$D$2:$D$606,"ПЧ-Семсер",'[1]Исходные данные'!$F$2:$F$606,"32")</f>
        <v>0</v>
      </c>
      <c r="BH42" s="11">
        <f>SUMIFS('[1]Исходные данные'!$I$2:$I$606,'[1]Исходные данные'!$D$2:$D$606,"ПРЦЭО(2)",'[1]Исходные данные'!$F$2:$F$606,"32")</f>
        <v>0</v>
      </c>
      <c r="BI42" s="11">
        <f>SUMIFS('[1]Исходные данные'!$J$2:$J$606,'[1]Исходные данные'!$D$2:$D$606,"ПРЦЭО(2)",'[1]Исходные данные'!$F$2:$F$606,"32")</f>
        <v>0</v>
      </c>
      <c r="BJ42" s="11">
        <f>SUMIFS('[1]Исходные данные'!$I$2:$I$606,'[1]Исходные данные'!$D$2:$D$606,"БД",'[1]Исходные данные'!$F$2:$F$606,"32")</f>
        <v>0</v>
      </c>
      <c r="BK42" s="11">
        <f>SUMIFS('[1]Исходные данные'!$J$2:$J$606,'[1]Исходные данные'!$D$2:$D$606,"БД",'[1]Исходные данные'!$F$2:$F$606,"32")</f>
        <v>0</v>
      </c>
      <c r="BL42" s="11">
        <f>SUMIFS('[1]Исходные данные'!$I$2:$I$606,'[1]Исходные данные'!$D$2:$D$606,"ОГиР",'[1]Исходные данные'!$F$2:$F$606,"32")</f>
        <v>0</v>
      </c>
      <c r="BM42" s="11">
        <f>SUMIFS('[1]Исходные данные'!$J$2:$J$606,'[1]Исходные данные'!$D$2:$D$606,"ОГиР",'[1]Исходные данные'!$F$2:$F$606,"32")</f>
        <v>0</v>
      </c>
      <c r="BN42" s="11">
        <f>SUMIFS('[1]Исходные данные'!$I$2:$I$606,'[1]Исходные данные'!$D$2:$D$606,"ГСРиВК",'[1]Исходные данные'!$F$2:$F$606,"32")</f>
        <v>0</v>
      </c>
      <c r="BO42" s="11">
        <f>SUMIFS('[1]Исходные данные'!$J$2:$J$606,'[1]Исходные данные'!$D$2:$D$606,"ГСРиВК",'[1]Исходные данные'!$F$2:$F$606,"32")</f>
        <v>0</v>
      </c>
      <c r="BP42" s="11">
        <f>SUMIFS('[1]Исходные данные'!$I$2:$I$606,'[1]Исходные данные'!$D$2:$D$606,"МПГУ",'[1]Исходные данные'!$F$2:$F$606,"32")</f>
        <v>0</v>
      </c>
      <c r="BQ42" s="11">
        <f>SUMIFS('[1]Исходные данные'!$J$2:$J$606,'[1]Исходные данные'!$D$2:$D$606,"МПГУ",'[1]Исходные данные'!$F$2:$F$606,"32")</f>
        <v>0</v>
      </c>
      <c r="BR42" s="11">
        <f>SUMIFS('[1]Исходные данные'!$I$2:$I$606,'[1]Исходные данные'!$D$2:$D$606,"БПО 2",'[1]Исходные данные'!$F$2:$F$606,"32")</f>
        <v>0</v>
      </c>
      <c r="BS42" s="11">
        <f>SUMIFS('[1]Исходные данные'!$J$2:$J$606,'[1]Исходные данные'!$D$2:$D$606,"БПО 2",'[1]Исходные данные'!$F$2:$F$606,"32")</f>
        <v>0</v>
      </c>
      <c r="BT42" s="11">
        <f>SUMIFS('[1]Исходные данные'!$I$2:$I$606,'[1]Исходные данные'!$D$2:$D$606,"ЛД",'[1]Исходные данные'!$F$2:$F$606,"32")</f>
        <v>0</v>
      </c>
      <c r="BU42" s="11">
        <f>SUMIFS('[1]Исходные данные'!$J$2:$J$606,'[1]Исходные данные'!$D$2:$D$606,"ЛД",'[1]Исходные данные'!$F$2:$F$606,"32")</f>
        <v>0</v>
      </c>
      <c r="BV42" s="11">
        <f>SUMIFS('[1]Исходные данные'!$I$2:$I$606,'[1]Исходные данные'!$D$2:$D$606,"Отделкадр",'[1]Исходные данные'!$F$2:$F$606,"32")</f>
        <v>0</v>
      </c>
      <c r="BW42" s="11">
        <f>SUMIFS('[1]Исходные данные'!$J$2:$J$606,'[1]Исходные данные'!$D$2:$D$606,"Отделкадр",'[1]Исходные данные'!$F$2:$F$606,"32")</f>
        <v>0</v>
      </c>
      <c r="BX42" s="11">
        <f>SUMIFS('[1]Исходные данные'!$I$2:$I$606,'[1]Исходные данные'!$D$2:$D$606,"ЦИТС.",'[1]Исходные данные'!$F$2:$F$606,"32")</f>
        <v>0</v>
      </c>
      <c r="BY42" s="11">
        <f>SUMIFS('[1]Исходные данные'!$J$2:$J$606,'[1]Исходные данные'!$D$2:$D$606,"ЦИТС.",'[1]Исходные данные'!$F$2:$F$606,"32")</f>
        <v>0</v>
      </c>
      <c r="BZ42" s="11">
        <f>SUMIFS('[1]Исходные данные'!$I$2:$I$606,'[1]Исходные данные'!$D$2:$D$606,"ОБО",'[1]Исходные данные'!$F$2:$F$606,"32")</f>
        <v>0</v>
      </c>
      <c r="CA42" s="11">
        <f>SUMIFS('[1]Исходные данные'!$J$2:$J$606,'[1]Исходные данные'!$D$2:$D$606,"ОБО",'[1]Исходные данные'!$F$2:$F$606,"32")</f>
        <v>0</v>
      </c>
      <c r="CB42" s="11">
        <f>SUMIFS('[1]Исходные данные'!$I$2:$I$606,'[1]Исходные данные'!$D$2:$D$606,"УЖЭО",'[1]Исходные данные'!$F$2:$F$606,"32")</f>
        <v>0</v>
      </c>
      <c r="CC42" s="11">
        <f>SUMIFS('[1]Исходные данные'!$J$2:$J$606,'[1]Исходные данные'!$D$2:$D$606,"УЖЭО",'[1]Исходные данные'!$F$2:$F$606,"32")</f>
        <v>0</v>
      </c>
      <c r="CD42" s="11">
        <f>SUMIFS('[1]Исходные данные'!$I$2:$I$606,'[1]Исходные данные'!$D$2:$D$606,"Мухтар/Хамит",'[1]Исходные данные'!$F$2:$F$606,"32")</f>
        <v>0</v>
      </c>
      <c r="CE42" s="11">
        <f>SUMIFS('[1]Исходные данные'!$J$2:$J$606,'[1]Исходные данные'!$D$2:$D$606,"Мухтар/Хамит",'[1]Исходные данные'!$F$2:$F$606,"32")</f>
        <v>0</v>
      </c>
      <c r="CF42" s="11">
        <f>SUMIFS('[1]Исходные данные'!$I$2:$I$606,'[1]Исходные данные'!$D$2:$D$606,"ОБО-    СБ",'[1]Исходные данные'!$F$2:$F$606,"32")</f>
        <v>0</v>
      </c>
      <c r="CG42" s="11">
        <f>SUMIFS('[1]Исходные данные'!$J$2:$J$606,'[1]Исходные данные'!$D$2:$D$606,"ОБО-    СБ",'[1]Исходные данные'!$F$2:$F$606,"32")</f>
        <v>0</v>
      </c>
      <c r="CH42" s="11">
        <f>SUMIFS('[1]Исходные данные'!$I$2:$I$606,'[1]Исходные данные'!$D$2:$D$606,"РМУ 2",'[1]Исходные данные'!$F$2:$F$606,"32")</f>
        <v>0</v>
      </c>
      <c r="CI42" s="11">
        <f>SUMIFS('[1]Исходные данные'!$J$2:$J$606,'[1]Исходные данные'!$D$2:$D$606,"РМУ 2",'[1]Исходные данные'!$F$2:$F$606,"32")</f>
        <v>0</v>
      </c>
      <c r="CJ42" s="11">
        <f>SUMIFS('[1]Исходные данные'!$I$2:$I$606,'[1]Исходные данные'!$D$2:$D$606,"ГАПиИТ",'[1]Исходные данные'!$F$2:$F$606,"32")</f>
        <v>0</v>
      </c>
      <c r="CK42" s="11">
        <f>SUMIFS('[1]Исходные данные'!$J$2:$J$606,'[1]Исходные данные'!$D$2:$D$606,"ГАПиИТ",'[1]Исходные данные'!$F$2:$F$606,"32")</f>
        <v>0</v>
      </c>
      <c r="CL42" s="11">
        <f>SUMIFS('[1]Исходные данные'!$I$2:$I$606,'[1]Исходные данные'!$D$2:$D$606,"ОМ",'[1]Исходные данные'!$F$2:$F$606,"32")</f>
        <v>0</v>
      </c>
      <c r="CM42" s="11">
        <f>SUMIFS('[1]Исходные данные'!$J$2:$J$606,'[1]Исходные данные'!$D$2:$D$606,"ОМ",'[1]Исходные данные'!$F$2:$F$606,"32")</f>
        <v>0</v>
      </c>
      <c r="CN42" s="11">
        <f>SUMIFS('[1]Исходные данные'!$I$2:$I$606,'[1]Исходные данные'!$D$2:$D$606,"оппоIR",'[1]Исходные данные'!$F$2:$F$606,"32")</f>
        <v>0</v>
      </c>
      <c r="CO42" s="11">
        <f>SUMIFS('[1]Исходные данные'!$J$2:$J$606,'[1]Исходные данные'!$D$2:$D$606,"оппоIR",'[1]Исходные данные'!$F$2:$F$606,"32")</f>
        <v>0</v>
      </c>
      <c r="CP42" s="11">
        <f>SUMIFS('[1]Исходные данные'!$I$2:$I$606,'[1]Исходные данные'!$D$2:$D$606,"Маркшейдер",'[1]Исходные данные'!$F$2:$F$606,"32")</f>
        <v>0</v>
      </c>
      <c r="CQ42" s="11">
        <f>SUMIFS('[1]Исходные данные'!$J$2:$J$606,'[1]Исходные данные'!$D$2:$D$606,"Маркшейдер",'[1]Исходные данные'!$F$2:$F$606,"32")</f>
        <v>0</v>
      </c>
      <c r="CR42" s="11">
        <f>SUMIFS('[1]Исходные данные'!$I$2:$I$606,'[1]Исходные данные'!$D$2:$D$606,"ПСО",'[1]Исходные данные'!$F$2:$F$606,"32")</f>
        <v>0</v>
      </c>
      <c r="CS42" s="11">
        <f>SUMIFS('[1]Исходные данные'!$J$2:$J$606,'[1]Исходные данные'!$D$2:$D$606,"ПСО",'[1]Исходные данные'!$F$2:$F$606,"32")</f>
        <v>0</v>
      </c>
    </row>
    <row r="43" spans="1:97" x14ac:dyDescent="0.25">
      <c r="A43" s="13" t="s">
        <v>131</v>
      </c>
      <c r="B43" s="11" t="s">
        <v>132</v>
      </c>
      <c r="C43" s="10">
        <f t="shared" si="0"/>
        <v>1</v>
      </c>
      <c r="D43" s="10">
        <f t="shared" si="1"/>
        <v>1</v>
      </c>
      <c r="E43" s="10">
        <f t="shared" si="1"/>
        <v>0</v>
      </c>
      <c r="F43" s="11">
        <f>SUMIFS('[1]Исходные данные'!$I$2:$I$606,'[1]Исходные данные'!$D$2:$D$606,"ЦДН-1",'[1]Исходные данные'!$F$2:$F$606,"60")</f>
        <v>0</v>
      </c>
      <c r="G43" s="11">
        <f>SUMIFS('[1]Исходные данные'!$J$2:$J$606,'[1]Исходные данные'!$D$2:$D$606,"ЦДН-1",'[1]Исходные данные'!$F$2:$F$606,"60")</f>
        <v>0</v>
      </c>
      <c r="H43" s="11">
        <f>SUMIFS('[1]Исходные данные'!$I$2:$I$606,'[1]Исходные данные'!$D$2:$D$606,"ЦДН-2",'[1]Исходные данные'!$F$2:$F$606,"60")</f>
        <v>0</v>
      </c>
      <c r="I43" s="11">
        <f>SUMIFS('[1]Исходные данные'!$J$2:$J$606,'[1]Исходные данные'!$D$2:$D$606,"ЦДН-2",'[1]Исходные данные'!$F$2:$F$606,"60")</f>
        <v>0</v>
      </c>
      <c r="J43" s="11">
        <f>SUMIFS('[1]Исходные данные'!$I$2:$I$606,'[1]Исходные данные'!$D$2:$D$606,"ЦДН-3",'[1]Исходные данные'!$F$2:$F$606,"60")</f>
        <v>0</v>
      </c>
      <c r="K43" s="11">
        <f>SUMIFS('[1]Исходные данные'!$J$2:$J$606,'[1]Исходные данные'!$D$2:$D$606,"ЦДН-3",'[1]Исходные данные'!$F$2:$F$606,"60")</f>
        <v>0</v>
      </c>
      <c r="L43" s="11">
        <f>SUMIFS('[1]Исходные данные'!$I$2:$I$606,'[1]Исходные данные'!$D$2:$D$606,"ЦППН",'[1]Исходные данные'!$F$2:$F$606,"60")</f>
        <v>0</v>
      </c>
      <c r="M43" s="11">
        <f>SUMIFS('[1]Исходные данные'!$J$2:$J$606,'[1]Исходные данные'!$D$2:$D$606,"ЦППН",'[1]Исходные данные'!$F$2:$F$606,"60")</f>
        <v>0</v>
      </c>
      <c r="N43" s="11">
        <f>SUMIFS('[1]Исходные данные'!$I$2:$I$606,'[1]Исходные данные'!$D$2:$D$606,"ЦППД",'[1]Исходные данные'!$F$2:$F$606,"60")</f>
        <v>0</v>
      </c>
      <c r="O43" s="11">
        <f>SUMIFS('[1]Исходные данные'!$J$2:$J$606,'[1]Исходные данные'!$D$2:$D$606,"ЦППД",'[1]Исходные данные'!$F$2:$F$606,"60")</f>
        <v>0</v>
      </c>
      <c r="P43" s="11">
        <f>SUMIFS('[1]Исходные данные'!$I$2:$I$606,'[1]Исходные данные'!$D$2:$D$606,"ЭЦ",'[1]Исходные данные'!$F$2:$F$606,"60")</f>
        <v>0</v>
      </c>
      <c r="Q43" s="11">
        <f>SUMIFS('[1]Исходные данные'!$J$2:$J$606,'[1]Исходные данные'!$D$2:$D$606,"ЭЦ",'[1]Исходные данные'!$F$2:$F$606,"60")</f>
        <v>0</v>
      </c>
      <c r="R43" s="11">
        <f>SUMIFS('[1]Исходные данные'!$I$2:$I$606,'[1]Исходные данные'!$D$2:$D$606,"ОКС",'[1]Исходные данные'!$F$2:$F$606,"60")</f>
        <v>1</v>
      </c>
      <c r="S43" s="11">
        <f>SUMIFS('[1]Исходные данные'!$J$2:$J$606,'[1]Исходные данные'!$D$2:$D$606,"ОКС",'[1]Исходные данные'!$F$2:$F$606,"60")</f>
        <v>0</v>
      </c>
      <c r="T43" s="11">
        <f>SUMIFS('[1]Исходные данные'!$I$2:$I$606,'[1]Исходные данные'!$D$2:$D$606,"РСЦ",'[1]Исходные данные'!$F$2:$F$606,"60")</f>
        <v>0</v>
      </c>
      <c r="U43" s="11">
        <f>SUMIFS('[1]Исходные данные'!$J$2:$J$606,'[1]Исходные данные'!$D$2:$D$606,"РСЦ",'[1]Исходные данные'!$F$2:$F$606,"60")</f>
        <v>0</v>
      </c>
      <c r="V43" s="11">
        <f>SUMIFS('[1]Исходные данные'!$I$2:$I$606,'[1]Исходные данные'!$D$2:$D$606,"ЦИТС",'[1]Исходные данные'!$F$2:$F$606,"60")</f>
        <v>0</v>
      </c>
      <c r="W43" s="11">
        <f>SUMIFS('[1]Исходные данные'!$J$2:$J$606,'[1]Исходные данные'!$D$2:$D$606,"ЦИТС",'[1]Исходные данные'!$F$2:$F$606,"60")</f>
        <v>0</v>
      </c>
      <c r="X43" s="11">
        <f>SUMIFS('[1]Исходные данные'!$I$2:$I$606,'[1]Исходные данные'!$D$2:$D$606,"ПРЦЭО",'[1]Исходные данные'!$F$2:$F$606,"60")</f>
        <v>0</v>
      </c>
      <c r="Y43" s="11">
        <f>SUMIFS('[1]Исходные данные'!$J$2:$J$606,'[1]Исходные данные'!$D$2:$D$606,"ПРЦЭО",'[1]Исходные данные'!$F$2:$F$606,"60")</f>
        <v>0</v>
      </c>
      <c r="Z43" s="11">
        <f>SUMIFS('[1]Исходные данные'!$I$2:$I$606,'[1]Исходные данные'!$D$2:$D$606,"ГЦ",'[1]Исходные данные'!$F$2:$F$606,"60")</f>
        <v>0</v>
      </c>
      <c r="AA43" s="11">
        <f>SUMIFS('[1]Исходные данные'!$J$2:$J$606,'[1]Исходные данные'!$D$2:$D$606,"ГЦ",'[1]Исходные данные'!$F$2:$F$606,"60")</f>
        <v>0</v>
      </c>
      <c r="AB43" s="11">
        <f>SUMIFS('[1]Исходные данные'!$I$2:$I$606,'[1]Исходные данные'!$D$2:$D$606,"ЦПП",'[1]Исходные данные'!$F$2:$F$606,"60")</f>
        <v>0</v>
      </c>
      <c r="AC43" s="11">
        <f>SUMIFS('[1]Исходные данные'!$J$2:$J$606,'[1]Исходные данные'!$D$2:$D$606,"ЦПП",'[1]Исходные данные'!$F$2:$F$606,"60")</f>
        <v>0</v>
      </c>
      <c r="AD43" s="11">
        <f>SUMIFS('[1]Исходные данные'!$I$2:$I$606,'[1]Исходные данные'!$D$2:$D$606,"БМТС",'[1]Исходные данные'!$F$2:$F$606,"60")</f>
        <v>0</v>
      </c>
      <c r="AE43" s="11">
        <f>SUMIFS('[1]Исходные данные'!$J$2:$J$606,'[1]Исходные данные'!$D$2:$D$606,"БМТС",'[1]Исходные данные'!$F$2:$F$606,"60")</f>
        <v>0</v>
      </c>
      <c r="AF43" s="11">
        <f>SUMIFS('[1]Исходные данные'!$I$2:$I$606,'[1]Исходные данные'!$D$2:$D$606,"УБиПКРС-1",'[1]Исходные данные'!$F$2:$F$606,"60")</f>
        <v>0</v>
      </c>
      <c r="AG43" s="11">
        <f>SUMIFS('[1]Исходные данные'!$J$2:$J$606,'[1]Исходные данные'!$D$2:$D$606,"УБиПКРС-1",'[1]Исходные данные'!$F$2:$F$606,"60")</f>
        <v>0</v>
      </c>
      <c r="AH43" s="11">
        <f>SUMIFS('[1]Исходные данные'!$I$2:$I$606,'[1]Исходные данные'!$D$2:$D$606,"УБиПКРС-2",'[1]Исходные данные'!$F$2:$F$606,"60")</f>
        <v>0</v>
      </c>
      <c r="AI43" s="11">
        <f>SUMIFS('[1]Исходные данные'!$J$2:$J$606,'[1]Исходные данные'!$D$2:$D$606,"УБиПКРС-2",'[1]Исходные данные'!$F$2:$F$606,"60")</f>
        <v>0</v>
      </c>
      <c r="AJ43" s="11">
        <f>SUMIFS('[1]Исходные данные'!$I$2:$I$606,'[1]Исходные данные'!$D$2:$D$606,"ДТТ-1",'[1]Исходные данные'!$F$2:$F$606,"60")</f>
        <v>0</v>
      </c>
      <c r="AK43" s="11">
        <f>SUMIFS('[1]Исходные данные'!$J$2:$J$606,'[1]Исходные данные'!$D$2:$D$606,"ДТТ-1",'[1]Исходные данные'!$F$2:$F$606,"60")</f>
        <v>0</v>
      </c>
      <c r="AL43" s="11">
        <f>SUMIFS('[1]Исходные данные'!$I$2:$I$606,'[1]Исходные данные'!$D$2:$D$606,"ЦНИПР",'[1]Исходные данные'!$F$2:$F$606,"60")</f>
        <v>0</v>
      </c>
      <c r="AM43" s="11">
        <f>SUMIFS('[1]Исходные данные'!$J$2:$J$606,'[1]Исходные данные'!$D$2:$D$606,"ЦНИПР",'[1]Исходные данные'!$F$2:$F$606,"60")</f>
        <v>0</v>
      </c>
      <c r="AN43" s="11">
        <f>SUMIFS('[1]Исходные данные'!$I$2:$I$606,'[1]Исходные данные'!$D$2:$D$606,"ОБиПКРС",'[1]Исходные данные'!$F$2:$F$606,"60")</f>
        <v>0</v>
      </c>
      <c r="AO43" s="11">
        <f>SUMIFS('[1]Исходные данные'!$J$2:$J$606,'[1]Исходные данные'!$D$2:$D$606,"ОБиПКРС",'[1]Исходные данные'!$F$2:$F$606,"60")</f>
        <v>0</v>
      </c>
      <c r="AP43" s="11">
        <f>SUMIFS('[1]Исходные данные'!$I$2:$I$606,'[1]Исходные данные'!$D$2:$D$606,"ЦАП",'[1]Исходные данные'!$F$2:$F$606,"60")</f>
        <v>0</v>
      </c>
      <c r="AQ43" s="11">
        <f>SUMIFS('[1]Исходные данные'!$J$2:$J$606,'[1]Исходные данные'!$D$2:$D$606,"ЦАП",'[1]Исходные данные'!$F$2:$F$606,"60")</f>
        <v>0</v>
      </c>
      <c r="AR43" s="11">
        <f>SUMIFS('[1]Исходные данные'!$I$2:$I$606,'[1]Исходные данные'!$D$2:$D$606,"ГООС",'[1]Исходные данные'!$F$2:$F$606,"60")</f>
        <v>0</v>
      </c>
      <c r="AS43" s="11">
        <f>SUMIFS('[1]Исходные данные'!$J$2:$J$606,'[1]Исходные данные'!$D$2:$D$606,"ГООС",'[1]Исходные данные'!$F$2:$F$606,"60")</f>
        <v>0</v>
      </c>
      <c r="AT43" s="11">
        <f>SUMIFS('[1]Исходные данные'!$I$2:$I$606,'[1]Исходные данные'!$D$2:$D$606,"Ақкетік",'[1]Исходные данные'!$F$2:$F$606,"60")</f>
        <v>0</v>
      </c>
      <c r="AU43" s="11">
        <f>SUMIFS('[1]Исходные данные'!$J$2:$J$606,'[1]Исходные данные'!$D$2:$D$606,"Ақкетік",'[1]Исходные данные'!$F$2:$F$606,"60")</f>
        <v>0</v>
      </c>
      <c r="AV43" s="11">
        <f>SUMIFS('[1]Исходные данные'!$I$2:$I$606,'[1]Исходные данные'!$D$2:$D$606,"Нейрон",'[1]Исходные данные'!$F$2:$F$606,"60")</f>
        <v>0</v>
      </c>
      <c r="AW43" s="11">
        <f>SUMIFS('[1]Исходные данные'!$J$2:$J$606,'[1]Исходные данные'!$D$2:$D$606,"Нейрон",'[1]Исходные данные'!$F$2:$F$606,"60")</f>
        <v>0</v>
      </c>
      <c r="AX43" s="11">
        <f>SUMIFS('[1]Исходные данные'!$I$2:$I$606,'[1]Исходные данные'!$D$2:$D$606,"Бурение",'[1]Исходные данные'!$F$2:$F$606,"60")</f>
        <v>0</v>
      </c>
      <c r="AY43" s="11">
        <f>SUMIFS('[1]Исходные данные'!$J$2:$J$606,'[1]Исходные данные'!$D$2:$D$606,"Бурение",'[1]Исходные данные'!$F$2:$F$606,"60")</f>
        <v>0</v>
      </c>
      <c r="AZ43" s="11">
        <f>SUMIFS('[1]Исходные данные'!$I$2:$I$606,'[1]Исходные данные'!$D$2:$D$606,"ЦТВС",'[1]Исходные данные'!$F$2:$F$606,"60")</f>
        <v>0</v>
      </c>
      <c r="BA43" s="11">
        <f>SUMIFS('[1]Исходные данные'!$J$2:$J$606,'[1]Исходные данные'!$D$2:$D$606,"ЦТВС",'[1]Исходные данные'!$F$2:$F$606,"60")</f>
        <v>0</v>
      </c>
      <c r="BB43" s="11">
        <f>SUMIFS('[1]Исходные данные'!$I$2:$I$606,'[1]Исходные данные'!$D$2:$D$606,"ТБ",'[1]Исходные данные'!$F$2:$F$606,"60")</f>
        <v>0</v>
      </c>
      <c r="BC43" s="11">
        <f>SUMIFS('[1]Исходные данные'!$J$2:$J$606,'[1]Исходные данные'!$D$2:$D$606,"ТБ",'[1]Исходные данные'!$F$2:$F$606,"60")</f>
        <v>0</v>
      </c>
      <c r="BD43" s="11">
        <f>SUMIFS('[1]Исходные данные'!$I$2:$I$606,'[1]Исходные данные'!$D$2:$D$606,"ОТДН",'[1]Исходные данные'!$F$2:$F$606,"60")</f>
        <v>0</v>
      </c>
      <c r="BE43" s="11">
        <f>SUMIFS('[1]Исходные данные'!$J$2:$J$606,'[1]Исходные данные'!$D$2:$D$606,"ОТДН",'[1]Исходные данные'!$F$2:$F$606,"60")</f>
        <v>0</v>
      </c>
      <c r="BF43" s="11">
        <f>SUMIFS('[1]Исходные данные'!$I$2:$I$606,'[1]Исходные данные'!$D$2:$D$606,"ПЧ-Семсер",'[1]Исходные данные'!$F$2:$F$606,"60")</f>
        <v>0</v>
      </c>
      <c r="BG43" s="11">
        <f>SUMIFS('[1]Исходные данные'!$J$2:$J$606,'[1]Исходные данные'!$D$2:$D$606,"ПЧ-Семсер",'[1]Исходные данные'!$F$2:$F$606,"60")</f>
        <v>0</v>
      </c>
      <c r="BH43" s="11">
        <f>SUMIFS('[1]Исходные данные'!$I$2:$I$606,'[1]Исходные данные'!$D$2:$D$606,"ПРЦЭО(2)",'[1]Исходные данные'!$F$2:$F$606,"60")</f>
        <v>0</v>
      </c>
      <c r="BI43" s="11">
        <f>SUMIFS('[1]Исходные данные'!$J$2:$J$606,'[1]Исходные данные'!$D$2:$D$606,"ПРЦЭО(2)",'[1]Исходные данные'!$F$2:$F$606,"60")</f>
        <v>0</v>
      </c>
      <c r="BJ43" s="11">
        <f>SUMIFS('[1]Исходные данные'!$I$2:$I$606,'[1]Исходные данные'!$D$2:$D$606,"БД",'[1]Исходные данные'!$F$2:$F$606,"60")</f>
        <v>0</v>
      </c>
      <c r="BK43" s="11">
        <f>SUMIFS('[1]Исходные данные'!$J$2:$J$606,'[1]Исходные данные'!$D$2:$D$606,"БД",'[1]Исходные данные'!$F$2:$F$606,"60")</f>
        <v>0</v>
      </c>
      <c r="BL43" s="11">
        <f>SUMIFS('[1]Исходные данные'!$I$2:$I$606,'[1]Исходные данные'!$D$2:$D$606,"ОГиР",'[1]Исходные данные'!$F$2:$F$606,"60")</f>
        <v>0</v>
      </c>
      <c r="BM43" s="11">
        <f>SUMIFS('[1]Исходные данные'!$J$2:$J$606,'[1]Исходные данные'!$D$2:$D$606,"ОГиР",'[1]Исходные данные'!$F$2:$F$606,"60")</f>
        <v>0</v>
      </c>
      <c r="BN43" s="11">
        <f>SUMIFS('[1]Исходные данные'!$I$2:$I$606,'[1]Исходные данные'!$D$2:$D$606,"ГСРиВК",'[1]Исходные данные'!$F$2:$F$606,"60")</f>
        <v>0</v>
      </c>
      <c r="BO43" s="11">
        <f>SUMIFS('[1]Исходные данные'!$J$2:$J$606,'[1]Исходные данные'!$D$2:$D$606,"ГСРиВК",'[1]Исходные данные'!$F$2:$F$606,"60")</f>
        <v>0</v>
      </c>
      <c r="BP43" s="11">
        <f>SUMIFS('[1]Исходные данные'!$I$2:$I$606,'[1]Исходные данные'!$D$2:$D$606,"МПГУ",'[1]Исходные данные'!$F$2:$F$606,"60")</f>
        <v>0</v>
      </c>
      <c r="BQ43" s="11">
        <f>SUMIFS('[1]Исходные данные'!$J$2:$J$606,'[1]Исходные данные'!$D$2:$D$606,"МПГУ",'[1]Исходные данные'!$F$2:$F$606,"60")</f>
        <v>0</v>
      </c>
      <c r="BR43" s="11">
        <f>SUMIFS('[1]Исходные данные'!$I$2:$I$606,'[1]Исходные данные'!$D$2:$D$606,"БПО 2",'[1]Исходные данные'!$F$2:$F$606,"60")</f>
        <v>0</v>
      </c>
      <c r="BS43" s="11">
        <f>SUMIFS('[1]Исходные данные'!$J$2:$J$606,'[1]Исходные данные'!$D$2:$D$606,"БПО 2",'[1]Исходные данные'!$F$2:$F$606,"60")</f>
        <v>0</v>
      </c>
      <c r="BT43" s="11">
        <f>SUMIFS('[1]Исходные данные'!$I$2:$I$606,'[1]Исходные данные'!$D$2:$D$606,"ЛД",'[1]Исходные данные'!$F$2:$F$606,"60")</f>
        <v>0</v>
      </c>
      <c r="BU43" s="11">
        <f>SUMIFS('[1]Исходные данные'!$J$2:$J$606,'[1]Исходные данные'!$D$2:$D$606,"ЛД",'[1]Исходные данные'!$F$2:$F$606,"60")</f>
        <v>0</v>
      </c>
      <c r="BV43" s="11">
        <f>SUMIFS('[1]Исходные данные'!$I$2:$I$606,'[1]Исходные данные'!$D$2:$D$606,"Отделкадр",'[1]Исходные данные'!$F$2:$F$606,"60")</f>
        <v>0</v>
      </c>
      <c r="BW43" s="11">
        <f>SUMIFS('[1]Исходные данные'!$J$2:$J$606,'[1]Исходные данные'!$D$2:$D$606,"Отделкадр",'[1]Исходные данные'!$F$2:$F$606,"60")</f>
        <v>0</v>
      </c>
      <c r="BX43" s="11">
        <f>SUMIFS('[1]Исходные данные'!$I$2:$I$606,'[1]Исходные данные'!$D$2:$D$606,"ЦИТС.",'[1]Исходные данные'!$F$2:$F$606,"60")</f>
        <v>0</v>
      </c>
      <c r="BY43" s="11">
        <f>SUMIFS('[1]Исходные данные'!$J$2:$J$606,'[1]Исходные данные'!$D$2:$D$606,"ЦИТС.",'[1]Исходные данные'!$F$2:$F$606,"60")</f>
        <v>0</v>
      </c>
      <c r="BZ43" s="11">
        <f>SUMIFS('[1]Исходные данные'!$I$2:$I$606,'[1]Исходные данные'!$D$2:$D$606,"ОБО",'[1]Исходные данные'!$F$2:$F$606,"60")</f>
        <v>0</v>
      </c>
      <c r="CA43" s="11">
        <f>SUMIFS('[1]Исходные данные'!$J$2:$J$606,'[1]Исходные данные'!$D$2:$D$606,"ОБО",'[1]Исходные данные'!$F$2:$F$606,"60")</f>
        <v>0</v>
      </c>
      <c r="CB43" s="11">
        <f>SUMIFS('[1]Исходные данные'!$I$2:$I$606,'[1]Исходные данные'!$D$2:$D$606,"УЖЭО",'[1]Исходные данные'!$F$2:$F$606,"60")</f>
        <v>0</v>
      </c>
      <c r="CC43" s="11">
        <f>SUMIFS('[1]Исходные данные'!$J$2:$J$606,'[1]Исходные данные'!$D$2:$D$606,"УЖЭО",'[1]Исходные данные'!$F$2:$F$606,"60")</f>
        <v>0</v>
      </c>
      <c r="CD43" s="11">
        <f>SUMIFS('[1]Исходные данные'!$I$2:$I$606,'[1]Исходные данные'!$D$2:$D$606,"Мухтар/Хамит",'[1]Исходные данные'!$F$2:$F$606,"60")</f>
        <v>0</v>
      </c>
      <c r="CE43" s="11">
        <f>SUMIFS('[1]Исходные данные'!$J$2:$J$606,'[1]Исходные данные'!$D$2:$D$606,"Мухтар/Хамит",'[1]Исходные данные'!$F$2:$F$606,"60")</f>
        <v>0</v>
      </c>
      <c r="CF43" s="11">
        <f>SUMIFS('[1]Исходные данные'!$I$2:$I$606,'[1]Исходные данные'!$D$2:$D$606,"ОБО-    СБ",'[1]Исходные данные'!$F$2:$F$606,"60")</f>
        <v>0</v>
      </c>
      <c r="CG43" s="11">
        <f>SUMIFS('[1]Исходные данные'!$J$2:$J$606,'[1]Исходные данные'!$D$2:$D$606,"ОБО-    СБ",'[1]Исходные данные'!$F$2:$F$606,"60")</f>
        <v>0</v>
      </c>
      <c r="CH43" s="11">
        <f>SUMIFS('[1]Исходные данные'!$I$2:$I$606,'[1]Исходные данные'!$D$2:$D$606,"РМУ 2",'[1]Исходные данные'!$F$2:$F$606,"60")</f>
        <v>0</v>
      </c>
      <c r="CI43" s="11">
        <f>SUMIFS('[1]Исходные данные'!$J$2:$J$606,'[1]Исходные данные'!$D$2:$D$606,"РМУ 2",'[1]Исходные данные'!$F$2:$F$606,"60")</f>
        <v>0</v>
      </c>
      <c r="CJ43" s="11">
        <f>SUMIFS('[1]Исходные данные'!$I$2:$I$606,'[1]Исходные данные'!$D$2:$D$606,"ГАПиИТ",'[1]Исходные данные'!$F$2:$F$606,"60")</f>
        <v>0</v>
      </c>
      <c r="CK43" s="11">
        <f>SUMIFS('[1]Исходные данные'!$J$2:$J$606,'[1]Исходные данные'!$D$2:$D$606,"ГАПиИТ",'[1]Исходные данные'!$F$2:$F$606,"60")</f>
        <v>0</v>
      </c>
      <c r="CL43" s="11">
        <f>SUMIFS('[1]Исходные данные'!$I$2:$I$606,'[1]Исходные данные'!$D$2:$D$606,"ОМ",'[1]Исходные данные'!$F$2:$F$606,"60")</f>
        <v>0</v>
      </c>
      <c r="CM43" s="11">
        <f>SUMIFS('[1]Исходные данные'!$J$2:$J$606,'[1]Исходные данные'!$D$2:$D$606,"ОМ",'[1]Исходные данные'!$F$2:$F$606,"60")</f>
        <v>0</v>
      </c>
      <c r="CN43" s="11">
        <f>SUMIFS('[1]Исходные данные'!$I$2:$I$606,'[1]Исходные данные'!$D$2:$D$606,"оппоIR",'[1]Исходные данные'!$F$2:$F$606,"60")</f>
        <v>0</v>
      </c>
      <c r="CO43" s="11">
        <f>SUMIFS('[1]Исходные данные'!$J$2:$J$606,'[1]Исходные данные'!$D$2:$D$606,"оппоIR",'[1]Исходные данные'!$F$2:$F$606,"60")</f>
        <v>0</v>
      </c>
      <c r="CP43" s="11">
        <f>SUMIFS('[1]Исходные данные'!$I$2:$I$606,'[1]Исходные данные'!$D$2:$D$606,"Маркшейдер",'[1]Исходные данные'!$F$2:$F$606,"60")</f>
        <v>0</v>
      </c>
      <c r="CQ43" s="11">
        <f>SUMIFS('[1]Исходные данные'!$J$2:$J$606,'[1]Исходные данные'!$D$2:$D$606,"Маркшейдер",'[1]Исходные данные'!$F$2:$F$606,"60")</f>
        <v>0</v>
      </c>
      <c r="CR43" s="11">
        <f>SUMIFS('[1]Исходные данные'!$I$2:$I$606,'[1]Исходные данные'!$D$2:$D$606,"ПСО",'[1]Исходные данные'!$F$2:$F$606,"60")</f>
        <v>0</v>
      </c>
      <c r="CS43" s="11">
        <f>SUMIFS('[1]Исходные данные'!$J$2:$J$606,'[1]Исходные данные'!$D$2:$D$606,"ПСО",'[1]Исходные данные'!$F$2:$F$606,"60")</f>
        <v>0</v>
      </c>
    </row>
    <row r="44" spans="1:97" x14ac:dyDescent="0.25">
      <c r="A44" s="13" t="s">
        <v>133</v>
      </c>
      <c r="B44" s="11" t="s">
        <v>134</v>
      </c>
      <c r="C44" s="10">
        <f t="shared" si="0"/>
        <v>1</v>
      </c>
      <c r="D44" s="10">
        <f t="shared" si="1"/>
        <v>1</v>
      </c>
      <c r="E44" s="10">
        <f t="shared" si="1"/>
        <v>0</v>
      </c>
      <c r="F44" s="11">
        <f>SUMIFS('[1]Исходные данные'!$I$2:$I$606,'[1]Исходные данные'!$D$2:$D$606,"ЦДН-1",'[1]Исходные данные'!$F$2:$F$606,"57")</f>
        <v>0</v>
      </c>
      <c r="G44" s="11">
        <f>SUMIFS('[1]Исходные данные'!$J$2:$J$606,'[1]Исходные данные'!$D$2:$D$606,"ЦДН-1",'[1]Исходные данные'!$F$2:$F$606,"57")</f>
        <v>0</v>
      </c>
      <c r="H44" s="11">
        <f>SUMIFS('[1]Исходные данные'!$I$2:$I$606,'[1]Исходные данные'!$D$2:$D$606,"ЦДН-2",'[1]Исходные данные'!$F$2:$F$606,"57")</f>
        <v>0</v>
      </c>
      <c r="I44" s="11">
        <f>SUMIFS('[1]Исходные данные'!$J$2:$J$606,'[1]Исходные данные'!$D$2:$D$606,"ЦДН-2",'[1]Исходные данные'!$F$2:$F$606,"57")</f>
        <v>0</v>
      </c>
      <c r="J44" s="11">
        <f>SUMIFS('[1]Исходные данные'!$I$2:$I$606,'[1]Исходные данные'!$D$2:$D$606,"ЦДН-3",'[1]Исходные данные'!$F$2:$F$606,"57")</f>
        <v>0</v>
      </c>
      <c r="K44" s="11">
        <f>SUMIFS('[1]Исходные данные'!$J$2:$J$606,'[1]Исходные данные'!$D$2:$D$606,"ЦДН-3",'[1]Исходные данные'!$F$2:$F$606,"57")</f>
        <v>0</v>
      </c>
      <c r="L44" s="11">
        <f>SUMIFS('[1]Исходные данные'!$I$2:$I$606,'[1]Исходные данные'!$D$2:$D$606,"ЦППН",'[1]Исходные данные'!$F$2:$F$606,"57")</f>
        <v>0</v>
      </c>
      <c r="M44" s="11">
        <f>SUMIFS('[1]Исходные данные'!$J$2:$J$606,'[1]Исходные данные'!$D$2:$D$606,"ЦППН",'[1]Исходные данные'!$F$2:$F$606,"57")</f>
        <v>0</v>
      </c>
      <c r="N44" s="11">
        <f>SUMIFS('[1]Исходные данные'!$I$2:$I$606,'[1]Исходные данные'!$D$2:$D$606,"ЦППД",'[1]Исходные данные'!$F$2:$F$606,"57")</f>
        <v>0</v>
      </c>
      <c r="O44" s="11">
        <f>SUMIFS('[1]Исходные данные'!$J$2:$J$606,'[1]Исходные данные'!$D$2:$D$606,"ЦППД",'[1]Исходные данные'!$F$2:$F$606,"57")</f>
        <v>0</v>
      </c>
      <c r="P44" s="11">
        <f>SUMIFS('[1]Исходные данные'!$I$2:$I$606,'[1]Исходные данные'!$D$2:$D$606,"ЭЦ",'[1]Исходные данные'!$F$2:$F$606,"57")</f>
        <v>0</v>
      </c>
      <c r="Q44" s="11">
        <f>SUMIFS('[1]Исходные данные'!$J$2:$J$606,'[1]Исходные данные'!$D$2:$D$606,"ЭЦ",'[1]Исходные данные'!$F$2:$F$606,"57")</f>
        <v>0</v>
      </c>
      <c r="R44" s="11">
        <f>SUMIFS('[1]Исходные данные'!$I$2:$I$606,'[1]Исходные данные'!$D$2:$D$606,"ОКС",'[1]Исходные данные'!$F$2:$F$606,"57")</f>
        <v>0</v>
      </c>
      <c r="S44" s="11">
        <f>SUMIFS('[1]Исходные данные'!$J$2:$J$606,'[1]Исходные данные'!$D$2:$D$606,"ОКС",'[1]Исходные данные'!$F$2:$F$606,"57")</f>
        <v>0</v>
      </c>
      <c r="T44" s="11">
        <f>SUMIFS('[1]Исходные данные'!$I$2:$I$606,'[1]Исходные данные'!$D$2:$D$606,"РСЦ",'[1]Исходные данные'!$F$2:$F$606,"57")</f>
        <v>1</v>
      </c>
      <c r="U44" s="11">
        <f>SUMIFS('[1]Исходные данные'!$J$2:$J$606,'[1]Исходные данные'!$D$2:$D$606,"РСЦ",'[1]Исходные данные'!$F$2:$F$606,"57")</f>
        <v>0</v>
      </c>
      <c r="V44" s="11">
        <f>SUMIFS('[1]Исходные данные'!$I$2:$I$606,'[1]Исходные данные'!$D$2:$D$606,"ЦИТС",'[1]Исходные данные'!$F$2:$F$606,"57")</f>
        <v>0</v>
      </c>
      <c r="W44" s="11">
        <f>SUMIFS('[1]Исходные данные'!$J$2:$J$606,'[1]Исходные данные'!$D$2:$D$606,"ЦИТС",'[1]Исходные данные'!$F$2:$F$606,"57")</f>
        <v>0</v>
      </c>
      <c r="X44" s="11">
        <f>SUMIFS('[1]Исходные данные'!$I$2:$I$606,'[1]Исходные данные'!$D$2:$D$606,"ПРЦЭО",'[1]Исходные данные'!$F$2:$F$606,"57")</f>
        <v>0</v>
      </c>
      <c r="Y44" s="11">
        <f>SUMIFS('[1]Исходные данные'!$J$2:$J$606,'[1]Исходные данные'!$D$2:$D$606,"ПРЦЭО",'[1]Исходные данные'!$F$2:$F$606,"57")</f>
        <v>0</v>
      </c>
      <c r="Z44" s="11">
        <f>SUMIFS('[1]Исходные данные'!$I$2:$I$606,'[1]Исходные данные'!$D$2:$D$606,"ГЦ",'[1]Исходные данные'!$F$2:$F$606,"57")</f>
        <v>0</v>
      </c>
      <c r="AA44" s="11">
        <f>SUMIFS('[1]Исходные данные'!$J$2:$J$606,'[1]Исходные данные'!$D$2:$D$606,"ГЦ",'[1]Исходные данные'!$F$2:$F$606,"57")</f>
        <v>0</v>
      </c>
      <c r="AB44" s="11">
        <f>SUMIFS('[1]Исходные данные'!$I$2:$I$606,'[1]Исходные данные'!$D$2:$D$606,"ЦПП",'[1]Исходные данные'!$F$2:$F$606,"57")</f>
        <v>0</v>
      </c>
      <c r="AC44" s="11">
        <f>SUMIFS('[1]Исходные данные'!$J$2:$J$606,'[1]Исходные данные'!$D$2:$D$606,"ЦПП",'[1]Исходные данные'!$F$2:$F$606,"57")</f>
        <v>0</v>
      </c>
      <c r="AD44" s="11">
        <f>SUMIFS('[1]Исходные данные'!$I$2:$I$606,'[1]Исходные данные'!$D$2:$D$606,"БМТС",'[1]Исходные данные'!$F$2:$F$606,"57")</f>
        <v>0</v>
      </c>
      <c r="AE44" s="11">
        <f>SUMIFS('[1]Исходные данные'!$J$2:$J$606,'[1]Исходные данные'!$D$2:$D$606,"БМТС",'[1]Исходные данные'!$F$2:$F$606,"57")</f>
        <v>0</v>
      </c>
      <c r="AF44" s="11">
        <f>SUMIFS('[1]Исходные данные'!$I$2:$I$606,'[1]Исходные данные'!$D$2:$D$606,"УБиПКРС-1",'[1]Исходные данные'!$F$2:$F$606,"57")</f>
        <v>0</v>
      </c>
      <c r="AG44" s="11">
        <f>SUMIFS('[1]Исходные данные'!$J$2:$J$606,'[1]Исходные данные'!$D$2:$D$606,"УБиПКРС-1",'[1]Исходные данные'!$F$2:$F$606,"57")</f>
        <v>0</v>
      </c>
      <c r="AH44" s="11">
        <f>SUMIFS('[1]Исходные данные'!$I$2:$I$606,'[1]Исходные данные'!$D$2:$D$606,"УБиПКРС-2",'[1]Исходные данные'!$F$2:$F$606,"57")</f>
        <v>0</v>
      </c>
      <c r="AI44" s="11">
        <f>SUMIFS('[1]Исходные данные'!$J$2:$J$606,'[1]Исходные данные'!$D$2:$D$606,"УБиПКРС-2",'[1]Исходные данные'!$F$2:$F$606,"57")</f>
        <v>0</v>
      </c>
      <c r="AJ44" s="11">
        <f>SUMIFS('[1]Исходные данные'!$I$2:$I$606,'[1]Исходные данные'!$D$2:$D$606,"ДТТ-1",'[1]Исходные данные'!$F$2:$F$606,"57")</f>
        <v>0</v>
      </c>
      <c r="AK44" s="11">
        <f>SUMIFS('[1]Исходные данные'!$J$2:$J$606,'[1]Исходные данные'!$D$2:$D$606,"ДТТ-1",'[1]Исходные данные'!$F$2:$F$606,"57")</f>
        <v>0</v>
      </c>
      <c r="AL44" s="11">
        <f>SUMIFS('[1]Исходные данные'!$I$2:$I$606,'[1]Исходные данные'!$D$2:$D$606,"ЦНИПР",'[1]Исходные данные'!$F$2:$F$606,"57")</f>
        <v>0</v>
      </c>
      <c r="AM44" s="11">
        <f>SUMIFS('[1]Исходные данные'!$J$2:$J$606,'[1]Исходные данные'!$D$2:$D$606,"ЦНИПР",'[1]Исходные данные'!$F$2:$F$606,"57")</f>
        <v>0</v>
      </c>
      <c r="AN44" s="11">
        <f>SUMIFS('[1]Исходные данные'!$I$2:$I$606,'[1]Исходные данные'!$D$2:$D$606,"ОБиПКРС",'[1]Исходные данные'!$F$2:$F$606,"57")</f>
        <v>0</v>
      </c>
      <c r="AO44" s="11">
        <f>SUMIFS('[1]Исходные данные'!$J$2:$J$606,'[1]Исходные данные'!$D$2:$D$606,"ОБиПКРС",'[1]Исходные данные'!$F$2:$F$606,"57")</f>
        <v>0</v>
      </c>
      <c r="AP44" s="11">
        <f>SUMIFS('[1]Исходные данные'!$I$2:$I$606,'[1]Исходные данные'!$D$2:$D$606,"ЦАП",'[1]Исходные данные'!$F$2:$F$606,"57")</f>
        <v>0</v>
      </c>
      <c r="AQ44" s="11">
        <f>SUMIFS('[1]Исходные данные'!$J$2:$J$606,'[1]Исходные данные'!$D$2:$D$606,"ЦАП",'[1]Исходные данные'!$F$2:$F$606,"57")</f>
        <v>0</v>
      </c>
      <c r="AR44" s="11">
        <f>SUMIFS('[1]Исходные данные'!$I$2:$I$606,'[1]Исходные данные'!$D$2:$D$606,"ГООС",'[1]Исходные данные'!$F$2:$F$606,"57")</f>
        <v>0</v>
      </c>
      <c r="AS44" s="11">
        <f>SUMIFS('[1]Исходные данные'!$J$2:$J$606,'[1]Исходные данные'!$D$2:$D$606,"ГООС",'[1]Исходные данные'!$F$2:$F$606,"57")</f>
        <v>0</v>
      </c>
      <c r="AT44" s="11">
        <f>SUMIFS('[1]Исходные данные'!$I$2:$I$606,'[1]Исходные данные'!$D$2:$D$606,"Ақкетік",'[1]Исходные данные'!$F$2:$F$606,"57")</f>
        <v>0</v>
      </c>
      <c r="AU44" s="11">
        <f>SUMIFS('[1]Исходные данные'!$J$2:$J$606,'[1]Исходные данные'!$D$2:$D$606,"Ақкетік",'[1]Исходные данные'!$F$2:$F$606,"57")</f>
        <v>0</v>
      </c>
      <c r="AV44" s="11">
        <f>SUMIFS('[1]Исходные данные'!$I$2:$I$606,'[1]Исходные данные'!$D$2:$D$606,"Нейрон",'[1]Исходные данные'!$F$2:$F$606,"57")</f>
        <v>0</v>
      </c>
      <c r="AW44" s="11">
        <f>SUMIFS('[1]Исходные данные'!$J$2:$J$606,'[1]Исходные данные'!$D$2:$D$606,"Нейрон",'[1]Исходные данные'!$F$2:$F$606,"57")</f>
        <v>0</v>
      </c>
      <c r="AX44" s="11">
        <f>SUMIFS('[1]Исходные данные'!$I$2:$I$606,'[1]Исходные данные'!$D$2:$D$606,"Бурение",'[1]Исходные данные'!$F$2:$F$606,"57")</f>
        <v>0</v>
      </c>
      <c r="AY44" s="11">
        <f>SUMIFS('[1]Исходные данные'!$J$2:$J$606,'[1]Исходные данные'!$D$2:$D$606,"Бурение",'[1]Исходные данные'!$F$2:$F$606,"57")</f>
        <v>0</v>
      </c>
      <c r="AZ44" s="11">
        <f>SUMIFS('[1]Исходные данные'!$I$2:$I$606,'[1]Исходные данные'!$D$2:$D$606,"ЦТВС",'[1]Исходные данные'!$F$2:$F$606,"57")</f>
        <v>0</v>
      </c>
      <c r="BA44" s="11">
        <f>SUMIFS('[1]Исходные данные'!$J$2:$J$606,'[1]Исходные данные'!$D$2:$D$606,"ЦТВС",'[1]Исходные данные'!$F$2:$F$606,"57")</f>
        <v>0</v>
      </c>
      <c r="BB44" s="11">
        <f>SUMIFS('[1]Исходные данные'!$I$2:$I$606,'[1]Исходные данные'!$D$2:$D$606,"ТБ",'[1]Исходные данные'!$F$2:$F$606,"57")</f>
        <v>0</v>
      </c>
      <c r="BC44" s="11">
        <f>SUMIFS('[1]Исходные данные'!$J$2:$J$606,'[1]Исходные данные'!$D$2:$D$606,"ТБ",'[1]Исходные данные'!$F$2:$F$606,"57")</f>
        <v>0</v>
      </c>
      <c r="BD44" s="11">
        <f>SUMIFS('[1]Исходные данные'!$I$2:$I$606,'[1]Исходные данные'!$D$2:$D$606,"ОТДН",'[1]Исходные данные'!$F$2:$F$606,"57")</f>
        <v>0</v>
      </c>
      <c r="BE44" s="11">
        <f>SUMIFS('[1]Исходные данные'!$J$2:$J$606,'[1]Исходные данные'!$D$2:$D$606,"ОТДН",'[1]Исходные данные'!$F$2:$F$606,"57")</f>
        <v>0</v>
      </c>
      <c r="BF44" s="11">
        <f>SUMIFS('[1]Исходные данные'!$I$2:$I$606,'[1]Исходные данные'!$D$2:$D$606,"ПЧ-Семсер",'[1]Исходные данные'!$F$2:$F$606,"57")</f>
        <v>0</v>
      </c>
      <c r="BG44" s="11">
        <f>SUMIFS('[1]Исходные данные'!$J$2:$J$606,'[1]Исходные данные'!$D$2:$D$606,"ПЧ-Семсер",'[1]Исходные данные'!$F$2:$F$606,"57")</f>
        <v>0</v>
      </c>
      <c r="BH44" s="11">
        <f>SUMIFS('[1]Исходные данные'!$I$2:$I$606,'[1]Исходные данные'!$D$2:$D$606,"ПРЦЭО(2)",'[1]Исходные данные'!$F$2:$F$606,"57")</f>
        <v>0</v>
      </c>
      <c r="BI44" s="11">
        <f>SUMIFS('[1]Исходные данные'!$J$2:$J$606,'[1]Исходные данные'!$D$2:$D$606,"ПРЦЭО(2)",'[1]Исходные данные'!$F$2:$F$606,"57")</f>
        <v>0</v>
      </c>
      <c r="BJ44" s="11">
        <f>SUMIFS('[1]Исходные данные'!$I$2:$I$606,'[1]Исходные данные'!$D$2:$D$606,"БД",'[1]Исходные данные'!$F$2:$F$606,"57")</f>
        <v>0</v>
      </c>
      <c r="BK44" s="11">
        <f>SUMIFS('[1]Исходные данные'!$J$2:$J$606,'[1]Исходные данные'!$D$2:$D$606,"БД",'[1]Исходные данные'!$F$2:$F$606,"57")</f>
        <v>0</v>
      </c>
      <c r="BL44" s="11">
        <f>SUMIFS('[1]Исходные данные'!$I$2:$I$606,'[1]Исходные данные'!$D$2:$D$606,"ОГиР",'[1]Исходные данные'!$F$2:$F$606,"57")</f>
        <v>0</v>
      </c>
      <c r="BM44" s="11">
        <f>SUMIFS('[1]Исходные данные'!$J$2:$J$606,'[1]Исходные данные'!$D$2:$D$606,"ОГиР",'[1]Исходные данные'!$F$2:$F$606,"57")</f>
        <v>0</v>
      </c>
      <c r="BN44" s="11">
        <f>SUMIFS('[1]Исходные данные'!$I$2:$I$606,'[1]Исходные данные'!$D$2:$D$606,"ГСРиВК",'[1]Исходные данные'!$F$2:$F$606,"57")</f>
        <v>0</v>
      </c>
      <c r="BO44" s="11">
        <f>SUMIFS('[1]Исходные данные'!$J$2:$J$606,'[1]Исходные данные'!$D$2:$D$606,"ГСРиВК",'[1]Исходные данные'!$F$2:$F$606,"57")</f>
        <v>0</v>
      </c>
      <c r="BP44" s="11">
        <f>SUMIFS('[1]Исходные данные'!$I$2:$I$606,'[1]Исходные данные'!$D$2:$D$606,"МПГУ",'[1]Исходные данные'!$F$2:$F$606,"57")</f>
        <v>0</v>
      </c>
      <c r="BQ44" s="11">
        <f>SUMIFS('[1]Исходные данные'!$J$2:$J$606,'[1]Исходные данные'!$D$2:$D$606,"МПГУ",'[1]Исходные данные'!$F$2:$F$606,"57")</f>
        <v>0</v>
      </c>
      <c r="BR44" s="11">
        <f>SUMIFS('[1]Исходные данные'!$I$2:$I$606,'[1]Исходные данные'!$D$2:$D$606,"БПО 2",'[1]Исходные данные'!$F$2:$F$606,"57")</f>
        <v>0</v>
      </c>
      <c r="BS44" s="11">
        <f>SUMIFS('[1]Исходные данные'!$J$2:$J$606,'[1]Исходные данные'!$D$2:$D$606,"БПО 2",'[1]Исходные данные'!$F$2:$F$606,"57")</f>
        <v>0</v>
      </c>
      <c r="BT44" s="11">
        <f>SUMIFS('[1]Исходные данные'!$I$2:$I$606,'[1]Исходные данные'!$D$2:$D$606,"ЛД",'[1]Исходные данные'!$F$2:$F$606,"57")</f>
        <v>0</v>
      </c>
      <c r="BU44" s="11">
        <f>SUMIFS('[1]Исходные данные'!$J$2:$J$606,'[1]Исходные данные'!$D$2:$D$606,"ЛД",'[1]Исходные данные'!$F$2:$F$606,"57")</f>
        <v>0</v>
      </c>
      <c r="BV44" s="11">
        <f>SUMIFS('[1]Исходные данные'!$I$2:$I$606,'[1]Исходные данные'!$D$2:$D$606,"Отделкадр",'[1]Исходные данные'!$F$2:$F$606,"57")</f>
        <v>0</v>
      </c>
      <c r="BW44" s="11">
        <f>SUMIFS('[1]Исходные данные'!$J$2:$J$606,'[1]Исходные данные'!$D$2:$D$606,"Отделкадр",'[1]Исходные данные'!$F$2:$F$606,"57")</f>
        <v>0</v>
      </c>
      <c r="BX44" s="11">
        <f>SUMIFS('[1]Исходные данные'!$I$2:$I$606,'[1]Исходные данные'!$D$2:$D$606,"ЦИТС.",'[1]Исходные данные'!$F$2:$F$606,"57")</f>
        <v>0</v>
      </c>
      <c r="BY44" s="11">
        <f>SUMIFS('[1]Исходные данные'!$J$2:$J$606,'[1]Исходные данные'!$D$2:$D$606,"ЦИТС.",'[1]Исходные данные'!$F$2:$F$606,"57")</f>
        <v>0</v>
      </c>
      <c r="BZ44" s="11">
        <f>SUMIFS('[1]Исходные данные'!$I$2:$I$606,'[1]Исходные данные'!$D$2:$D$606,"ОБО",'[1]Исходные данные'!$F$2:$F$606,"57")</f>
        <v>0</v>
      </c>
      <c r="CA44" s="11">
        <f>SUMIFS('[1]Исходные данные'!$J$2:$J$606,'[1]Исходные данные'!$D$2:$D$606,"ОБО",'[1]Исходные данные'!$F$2:$F$606,"57")</f>
        <v>0</v>
      </c>
      <c r="CB44" s="11">
        <f>SUMIFS('[1]Исходные данные'!$I$2:$I$606,'[1]Исходные данные'!$D$2:$D$606,"УЖЭО",'[1]Исходные данные'!$F$2:$F$606,"57")</f>
        <v>0</v>
      </c>
      <c r="CC44" s="11">
        <f>SUMIFS('[1]Исходные данные'!$J$2:$J$606,'[1]Исходные данные'!$D$2:$D$606,"УЖЭО",'[1]Исходные данные'!$F$2:$F$606,"57")</f>
        <v>0</v>
      </c>
      <c r="CD44" s="11">
        <f>SUMIFS('[1]Исходные данные'!$I$2:$I$606,'[1]Исходные данные'!$D$2:$D$606,"Мухтар/Хамит",'[1]Исходные данные'!$F$2:$F$606,"57")</f>
        <v>0</v>
      </c>
      <c r="CE44" s="11">
        <f>SUMIFS('[1]Исходные данные'!$J$2:$J$606,'[1]Исходные данные'!$D$2:$D$606,"Мухтар/Хамит",'[1]Исходные данные'!$F$2:$F$606,"57")</f>
        <v>0</v>
      </c>
      <c r="CF44" s="11">
        <f>SUMIFS('[1]Исходные данные'!$I$2:$I$606,'[1]Исходные данные'!$D$2:$D$606,"ОБО-    СБ",'[1]Исходные данные'!$F$2:$F$606,"57")</f>
        <v>0</v>
      </c>
      <c r="CG44" s="11">
        <f>SUMIFS('[1]Исходные данные'!$J$2:$J$606,'[1]Исходные данные'!$D$2:$D$606,"ОБО-    СБ",'[1]Исходные данные'!$F$2:$F$606,"57")</f>
        <v>0</v>
      </c>
      <c r="CH44" s="11">
        <f>SUMIFS('[1]Исходные данные'!$I$2:$I$606,'[1]Исходные данные'!$D$2:$D$606,"РМУ 2",'[1]Исходные данные'!$F$2:$F$606,"57")</f>
        <v>0</v>
      </c>
      <c r="CI44" s="11">
        <f>SUMIFS('[1]Исходные данные'!$J$2:$J$606,'[1]Исходные данные'!$D$2:$D$606,"РМУ 2",'[1]Исходные данные'!$F$2:$F$606,"57")</f>
        <v>0</v>
      </c>
      <c r="CJ44" s="11">
        <f>SUMIFS('[1]Исходные данные'!$I$2:$I$606,'[1]Исходные данные'!$D$2:$D$606,"ГАПиИТ",'[1]Исходные данные'!$F$2:$F$606,"57")</f>
        <v>0</v>
      </c>
      <c r="CK44" s="11">
        <f>SUMIFS('[1]Исходные данные'!$J$2:$J$606,'[1]Исходные данные'!$D$2:$D$606,"ГАПиИТ",'[1]Исходные данные'!$F$2:$F$606,"57")</f>
        <v>0</v>
      </c>
      <c r="CL44" s="11">
        <f>SUMIFS('[1]Исходные данные'!$I$2:$I$606,'[1]Исходные данные'!$D$2:$D$606,"ОМ",'[1]Исходные данные'!$F$2:$F$606,"57")</f>
        <v>0</v>
      </c>
      <c r="CM44" s="11">
        <f>SUMIFS('[1]Исходные данные'!$J$2:$J$606,'[1]Исходные данные'!$D$2:$D$606,"ОМ",'[1]Исходные данные'!$F$2:$F$606,"57")</f>
        <v>0</v>
      </c>
      <c r="CN44" s="11">
        <f>SUMIFS('[1]Исходные данные'!$I$2:$I$606,'[1]Исходные данные'!$D$2:$D$606,"оппоIR",'[1]Исходные данные'!$F$2:$F$606,"57")</f>
        <v>0</v>
      </c>
      <c r="CO44" s="11">
        <f>SUMIFS('[1]Исходные данные'!$J$2:$J$606,'[1]Исходные данные'!$D$2:$D$606,"оппоIR",'[1]Исходные данные'!$F$2:$F$606,"57")</f>
        <v>0</v>
      </c>
      <c r="CP44" s="11">
        <f>SUMIFS('[1]Исходные данные'!$I$2:$I$606,'[1]Исходные данные'!$D$2:$D$606,"Маркшейдер",'[1]Исходные данные'!$F$2:$F$606,"57")</f>
        <v>0</v>
      </c>
      <c r="CQ44" s="11">
        <f>SUMIFS('[1]Исходные данные'!$J$2:$J$606,'[1]Исходные данные'!$D$2:$D$606,"Маркшейдер",'[1]Исходные данные'!$F$2:$F$606,"57")</f>
        <v>0</v>
      </c>
      <c r="CR44" s="11">
        <f>SUMIFS('[1]Исходные данные'!$I$2:$I$606,'[1]Исходные данные'!$D$2:$D$606,"ПСО",'[1]Исходные данные'!$F$2:$F$606,"57")</f>
        <v>0</v>
      </c>
      <c r="CS44" s="11">
        <f>SUMIFS('[1]Исходные данные'!$J$2:$J$606,'[1]Исходные данные'!$D$2:$D$606,"ПСО",'[1]Исходные данные'!$F$2:$F$606,"57")</f>
        <v>0</v>
      </c>
    </row>
    <row r="45" spans="1:97" x14ac:dyDescent="0.25">
      <c r="A45" s="13" t="s">
        <v>135</v>
      </c>
      <c r="B45" s="11" t="s">
        <v>136</v>
      </c>
      <c r="C45" s="10">
        <f t="shared" si="0"/>
        <v>1</v>
      </c>
      <c r="D45" s="10">
        <f t="shared" si="1"/>
        <v>1</v>
      </c>
      <c r="E45" s="10">
        <f t="shared" si="1"/>
        <v>0</v>
      </c>
      <c r="F45" s="11">
        <f>SUMIFS('[1]Исходные данные'!$I$2:$I$606,'[1]Исходные данные'!$D$2:$D$606,"ЦДН-1",'[1]Исходные данные'!$F$2:$F$606,"55")</f>
        <v>0</v>
      </c>
      <c r="G45" s="11">
        <f>SUMIFS('[1]Исходные данные'!$J$2:$J$606,'[1]Исходные данные'!$D$2:$D$606,"ЦДН-1",'[1]Исходные данные'!$F$2:$F$606,"55")</f>
        <v>0</v>
      </c>
      <c r="H45" s="11">
        <f>SUMIFS('[1]Исходные данные'!$I$2:$I$606,'[1]Исходные данные'!$D$2:$D$606,"ЦДН-2",'[1]Исходные данные'!$F$2:$F$606,"55")</f>
        <v>0</v>
      </c>
      <c r="I45" s="11">
        <f>SUMIFS('[1]Исходные данные'!$J$2:$J$606,'[1]Исходные данные'!$D$2:$D$606,"ЦДН-2",'[1]Исходные данные'!$F$2:$F$606,"55")</f>
        <v>0</v>
      </c>
      <c r="J45" s="11">
        <f>SUMIFS('[1]Исходные данные'!$I$2:$I$606,'[1]Исходные данные'!$D$2:$D$606,"ЦДН-3",'[1]Исходные данные'!$F$2:$F$606,"55")</f>
        <v>0</v>
      </c>
      <c r="K45" s="11">
        <f>SUMIFS('[1]Исходные данные'!$J$2:$J$606,'[1]Исходные данные'!$D$2:$D$606,"ЦДН-3",'[1]Исходные данные'!$F$2:$F$606,"55")</f>
        <v>0</v>
      </c>
      <c r="L45" s="11">
        <f>SUMIFS('[1]Исходные данные'!$I$2:$I$606,'[1]Исходные данные'!$D$2:$D$606,"ЦППН",'[1]Исходные данные'!$F$2:$F$606,"55")</f>
        <v>0</v>
      </c>
      <c r="M45" s="11">
        <f>SUMIFS('[1]Исходные данные'!$J$2:$J$606,'[1]Исходные данные'!$D$2:$D$606,"ЦППН",'[1]Исходные данные'!$F$2:$F$606,"55")</f>
        <v>0</v>
      </c>
      <c r="N45" s="11">
        <f>SUMIFS('[1]Исходные данные'!$I$2:$I$606,'[1]Исходные данные'!$D$2:$D$606,"ЦППД",'[1]Исходные данные'!$F$2:$F$606,"55")</f>
        <v>0</v>
      </c>
      <c r="O45" s="11">
        <f>SUMIFS('[1]Исходные данные'!$J$2:$J$606,'[1]Исходные данные'!$D$2:$D$606,"ЦППД",'[1]Исходные данные'!$F$2:$F$606,"55")</f>
        <v>0</v>
      </c>
      <c r="P45" s="11">
        <f>SUMIFS('[1]Исходные данные'!$I$2:$I$606,'[1]Исходные данные'!$D$2:$D$606,"ЭЦ",'[1]Исходные данные'!$F$2:$F$606,"55")</f>
        <v>0</v>
      </c>
      <c r="Q45" s="11">
        <f>SUMIFS('[1]Исходные данные'!$J$2:$J$606,'[1]Исходные данные'!$D$2:$D$606,"ЭЦ",'[1]Исходные данные'!$F$2:$F$606,"55")</f>
        <v>0</v>
      </c>
      <c r="R45" s="11">
        <f>SUMIFS('[1]Исходные данные'!$I$2:$I$606,'[1]Исходные данные'!$D$2:$D$606,"ОКС",'[1]Исходные данные'!$F$2:$F$606,"55")</f>
        <v>0</v>
      </c>
      <c r="S45" s="11">
        <f>SUMIFS('[1]Исходные данные'!$J$2:$J$606,'[1]Исходные данные'!$D$2:$D$606,"ОКС",'[1]Исходные данные'!$F$2:$F$606,"55")</f>
        <v>0</v>
      </c>
      <c r="T45" s="11">
        <f>SUMIFS('[1]Исходные данные'!$I$2:$I$606,'[1]Исходные данные'!$D$2:$D$606,"РСЦ",'[1]Исходные данные'!$F$2:$F$606,"55")</f>
        <v>1</v>
      </c>
      <c r="U45" s="11">
        <f>SUMIFS('[1]Исходные данные'!$J$2:$J$606,'[1]Исходные данные'!$D$2:$D$606,"РСЦ",'[1]Исходные данные'!$F$2:$F$606,"55")</f>
        <v>0</v>
      </c>
      <c r="V45" s="11">
        <f>SUMIFS('[1]Исходные данные'!$I$2:$I$606,'[1]Исходные данные'!$D$2:$D$606,"ЦИТС",'[1]Исходные данные'!$F$2:$F$606,"55")</f>
        <v>0</v>
      </c>
      <c r="W45" s="11">
        <f>SUMIFS('[1]Исходные данные'!$J$2:$J$606,'[1]Исходные данные'!$D$2:$D$606,"ЦИТС",'[1]Исходные данные'!$F$2:$F$606,"55")</f>
        <v>0</v>
      </c>
      <c r="X45" s="11">
        <f>SUMIFS('[1]Исходные данные'!$I$2:$I$606,'[1]Исходные данные'!$D$2:$D$606,"ПРЦЭО",'[1]Исходные данные'!$F$2:$F$606,"55")</f>
        <v>0</v>
      </c>
      <c r="Y45" s="11">
        <f>SUMIFS('[1]Исходные данные'!$J$2:$J$606,'[1]Исходные данные'!$D$2:$D$606,"ПРЦЭО",'[1]Исходные данные'!$F$2:$F$606,"55")</f>
        <v>0</v>
      </c>
      <c r="Z45" s="11">
        <f>SUMIFS('[1]Исходные данные'!$I$2:$I$606,'[1]Исходные данные'!$D$2:$D$606,"ГЦ",'[1]Исходные данные'!$F$2:$F$606,"55")</f>
        <v>0</v>
      </c>
      <c r="AA45" s="11">
        <f>SUMIFS('[1]Исходные данные'!$J$2:$J$606,'[1]Исходные данные'!$D$2:$D$606,"ГЦ",'[1]Исходные данные'!$F$2:$F$606,"55")</f>
        <v>0</v>
      </c>
      <c r="AB45" s="11">
        <f>SUMIFS('[1]Исходные данные'!$I$2:$I$606,'[1]Исходные данные'!$D$2:$D$606,"ЦПП",'[1]Исходные данные'!$F$2:$F$606,"55")</f>
        <v>0</v>
      </c>
      <c r="AC45" s="11">
        <f>SUMIFS('[1]Исходные данные'!$J$2:$J$606,'[1]Исходные данные'!$D$2:$D$606,"ЦПП",'[1]Исходные данные'!$F$2:$F$606,"55")</f>
        <v>0</v>
      </c>
      <c r="AD45" s="11">
        <f>SUMIFS('[1]Исходные данные'!$I$2:$I$606,'[1]Исходные данные'!$D$2:$D$606,"БМТС",'[1]Исходные данные'!$F$2:$F$606,"55")</f>
        <v>0</v>
      </c>
      <c r="AE45" s="11">
        <f>SUMIFS('[1]Исходные данные'!$J$2:$J$606,'[1]Исходные данные'!$D$2:$D$606,"БМТС",'[1]Исходные данные'!$F$2:$F$606,"55")</f>
        <v>0</v>
      </c>
      <c r="AF45" s="11">
        <f>SUMIFS('[1]Исходные данные'!$I$2:$I$606,'[1]Исходные данные'!$D$2:$D$606,"УБиПКРС-1",'[1]Исходные данные'!$F$2:$F$606,"55")</f>
        <v>0</v>
      </c>
      <c r="AG45" s="11">
        <f>SUMIFS('[1]Исходные данные'!$J$2:$J$606,'[1]Исходные данные'!$D$2:$D$606,"УБиПКРС-1",'[1]Исходные данные'!$F$2:$F$606,"55")</f>
        <v>0</v>
      </c>
      <c r="AH45" s="11">
        <f>SUMIFS('[1]Исходные данные'!$I$2:$I$606,'[1]Исходные данные'!$D$2:$D$606,"УБиПКРС-2",'[1]Исходные данные'!$F$2:$F$606,"55")</f>
        <v>0</v>
      </c>
      <c r="AI45" s="11">
        <f>SUMIFS('[1]Исходные данные'!$J$2:$J$606,'[1]Исходные данные'!$D$2:$D$606,"УБиПКРС-2",'[1]Исходные данные'!$F$2:$F$606,"55")</f>
        <v>0</v>
      </c>
      <c r="AJ45" s="11">
        <f>SUMIFS('[1]Исходные данные'!$I$2:$I$606,'[1]Исходные данные'!$D$2:$D$606,"ДТТ-1",'[1]Исходные данные'!$F$2:$F$606,"55")</f>
        <v>0</v>
      </c>
      <c r="AK45" s="11">
        <f>SUMIFS('[1]Исходные данные'!$J$2:$J$606,'[1]Исходные данные'!$D$2:$D$606,"ДТТ-1",'[1]Исходные данные'!$F$2:$F$606,"55")</f>
        <v>0</v>
      </c>
      <c r="AL45" s="11">
        <f>SUMIFS('[1]Исходные данные'!$I$2:$I$606,'[1]Исходные данные'!$D$2:$D$606,"ЦНИПР",'[1]Исходные данные'!$F$2:$F$606,"55")</f>
        <v>0</v>
      </c>
      <c r="AM45" s="11">
        <f>SUMIFS('[1]Исходные данные'!$J$2:$J$606,'[1]Исходные данные'!$D$2:$D$606,"ЦНИПР",'[1]Исходные данные'!$F$2:$F$606,"55")</f>
        <v>0</v>
      </c>
      <c r="AN45" s="11">
        <f>SUMIFS('[1]Исходные данные'!$I$2:$I$606,'[1]Исходные данные'!$D$2:$D$606,"ОБиПКРС",'[1]Исходные данные'!$F$2:$F$606,"55")</f>
        <v>0</v>
      </c>
      <c r="AO45" s="11">
        <f>SUMIFS('[1]Исходные данные'!$J$2:$J$606,'[1]Исходные данные'!$D$2:$D$606,"ОБиПКРС",'[1]Исходные данные'!$F$2:$F$606,"55")</f>
        <v>0</v>
      </c>
      <c r="AP45" s="11">
        <f>SUMIFS('[1]Исходные данные'!$I$2:$I$606,'[1]Исходные данные'!$D$2:$D$606,"ЦАП",'[1]Исходные данные'!$F$2:$F$606,"55")</f>
        <v>0</v>
      </c>
      <c r="AQ45" s="11">
        <f>SUMIFS('[1]Исходные данные'!$J$2:$J$606,'[1]Исходные данные'!$D$2:$D$606,"ЦАП",'[1]Исходные данные'!$F$2:$F$606,"55")</f>
        <v>0</v>
      </c>
      <c r="AR45" s="11">
        <f>SUMIFS('[1]Исходные данные'!$I$2:$I$606,'[1]Исходные данные'!$D$2:$D$606,"ГООС",'[1]Исходные данные'!$F$2:$F$606,"55")</f>
        <v>0</v>
      </c>
      <c r="AS45" s="11">
        <f>SUMIFS('[1]Исходные данные'!$J$2:$J$606,'[1]Исходные данные'!$D$2:$D$606,"ГООС",'[1]Исходные данные'!$F$2:$F$606,"55")</f>
        <v>0</v>
      </c>
      <c r="AT45" s="11">
        <f>SUMIFS('[1]Исходные данные'!$I$2:$I$606,'[1]Исходные данные'!$D$2:$D$606,"Ақкетік",'[1]Исходные данные'!$F$2:$F$606,"55")</f>
        <v>0</v>
      </c>
      <c r="AU45" s="11">
        <f>SUMIFS('[1]Исходные данные'!$J$2:$J$606,'[1]Исходные данные'!$D$2:$D$606,"Ақкетік",'[1]Исходные данные'!$F$2:$F$606,"55")</f>
        <v>0</v>
      </c>
      <c r="AV45" s="11">
        <f>SUMIFS('[1]Исходные данные'!$I$2:$I$606,'[1]Исходные данные'!$D$2:$D$606,"Нейрон",'[1]Исходные данные'!$F$2:$F$606,"55")</f>
        <v>0</v>
      </c>
      <c r="AW45" s="11">
        <f>SUMIFS('[1]Исходные данные'!$J$2:$J$606,'[1]Исходные данные'!$D$2:$D$606,"Нейрон",'[1]Исходные данные'!$F$2:$F$606,"55")</f>
        <v>0</v>
      </c>
      <c r="AX45" s="11">
        <f>SUMIFS('[1]Исходные данные'!$I$2:$I$606,'[1]Исходные данные'!$D$2:$D$606,"Бурение",'[1]Исходные данные'!$F$2:$F$606,"55")</f>
        <v>0</v>
      </c>
      <c r="AY45" s="11">
        <f>SUMIFS('[1]Исходные данные'!$J$2:$J$606,'[1]Исходные данные'!$D$2:$D$606,"Бурение",'[1]Исходные данные'!$F$2:$F$606,"55")</f>
        <v>0</v>
      </c>
      <c r="AZ45" s="11">
        <f>SUMIFS('[1]Исходные данные'!$I$2:$I$606,'[1]Исходные данные'!$D$2:$D$606,"ЦТВС",'[1]Исходные данные'!$F$2:$F$606,"55")</f>
        <v>0</v>
      </c>
      <c r="BA45" s="11">
        <f>SUMIFS('[1]Исходные данные'!$J$2:$J$606,'[1]Исходные данные'!$D$2:$D$606,"ЦТВС",'[1]Исходные данные'!$F$2:$F$606,"55")</f>
        <v>0</v>
      </c>
      <c r="BB45" s="11">
        <f>SUMIFS('[1]Исходные данные'!$I$2:$I$606,'[1]Исходные данные'!$D$2:$D$606,"ТБ",'[1]Исходные данные'!$F$2:$F$606,"55")</f>
        <v>0</v>
      </c>
      <c r="BC45" s="11">
        <f>SUMIFS('[1]Исходные данные'!$J$2:$J$606,'[1]Исходные данные'!$D$2:$D$606,"ТБ",'[1]Исходные данные'!$F$2:$F$606,"55")</f>
        <v>0</v>
      </c>
      <c r="BD45" s="11">
        <f>SUMIFS('[1]Исходные данные'!$I$2:$I$606,'[1]Исходные данные'!$D$2:$D$606,"ОТДН",'[1]Исходные данные'!$F$2:$F$606,"55")</f>
        <v>0</v>
      </c>
      <c r="BE45" s="11">
        <f>SUMIFS('[1]Исходные данные'!$J$2:$J$606,'[1]Исходные данные'!$D$2:$D$606,"ОТДН",'[1]Исходные данные'!$F$2:$F$606,"55")</f>
        <v>0</v>
      </c>
      <c r="BF45" s="11">
        <f>SUMIFS('[1]Исходные данные'!$I$2:$I$606,'[1]Исходные данные'!$D$2:$D$606,"ПЧ-Семсер",'[1]Исходные данные'!$F$2:$F$606,"55")</f>
        <v>0</v>
      </c>
      <c r="BG45" s="11">
        <f>SUMIFS('[1]Исходные данные'!$J$2:$J$606,'[1]Исходные данные'!$D$2:$D$606,"ПЧ-Семсер",'[1]Исходные данные'!$F$2:$F$606,"55")</f>
        <v>0</v>
      </c>
      <c r="BH45" s="11">
        <f>SUMIFS('[1]Исходные данные'!$I$2:$I$606,'[1]Исходные данные'!$D$2:$D$606,"ПРЦЭО(2)",'[1]Исходные данные'!$F$2:$F$606,"55")</f>
        <v>0</v>
      </c>
      <c r="BI45" s="11">
        <f>SUMIFS('[1]Исходные данные'!$J$2:$J$606,'[1]Исходные данные'!$D$2:$D$606,"ПРЦЭО(2)",'[1]Исходные данные'!$F$2:$F$606,"55")</f>
        <v>0</v>
      </c>
      <c r="BJ45" s="11">
        <f>SUMIFS('[1]Исходные данные'!$I$2:$I$606,'[1]Исходные данные'!$D$2:$D$606,"БД",'[1]Исходные данные'!$F$2:$F$606,"55")</f>
        <v>0</v>
      </c>
      <c r="BK45" s="11">
        <f>SUMIFS('[1]Исходные данные'!$J$2:$J$606,'[1]Исходные данные'!$D$2:$D$606,"БД",'[1]Исходные данные'!$F$2:$F$606,"55")</f>
        <v>0</v>
      </c>
      <c r="BL45" s="11">
        <f>SUMIFS('[1]Исходные данные'!$I$2:$I$606,'[1]Исходные данные'!$D$2:$D$606,"ОГиР",'[1]Исходные данные'!$F$2:$F$606,"55")</f>
        <v>0</v>
      </c>
      <c r="BM45" s="11">
        <f>SUMIFS('[1]Исходные данные'!$J$2:$J$606,'[1]Исходные данные'!$D$2:$D$606,"ОГиР",'[1]Исходные данные'!$F$2:$F$606,"55")</f>
        <v>0</v>
      </c>
      <c r="BN45" s="11">
        <f>SUMIFS('[1]Исходные данные'!$I$2:$I$606,'[1]Исходные данные'!$D$2:$D$606,"ГСРиВК",'[1]Исходные данные'!$F$2:$F$606,"55")</f>
        <v>0</v>
      </c>
      <c r="BO45" s="11">
        <f>SUMIFS('[1]Исходные данные'!$J$2:$J$606,'[1]Исходные данные'!$D$2:$D$606,"ГСРиВК",'[1]Исходные данные'!$F$2:$F$606,"55")</f>
        <v>0</v>
      </c>
      <c r="BP45" s="11">
        <f>SUMIFS('[1]Исходные данные'!$I$2:$I$606,'[1]Исходные данные'!$D$2:$D$606,"МПГУ",'[1]Исходные данные'!$F$2:$F$606,"55")</f>
        <v>0</v>
      </c>
      <c r="BQ45" s="11">
        <f>SUMIFS('[1]Исходные данные'!$J$2:$J$606,'[1]Исходные данные'!$D$2:$D$606,"МПГУ",'[1]Исходные данные'!$F$2:$F$606,"55")</f>
        <v>0</v>
      </c>
      <c r="BR45" s="11">
        <f>SUMIFS('[1]Исходные данные'!$I$2:$I$606,'[1]Исходные данные'!$D$2:$D$606,"БПО 2",'[1]Исходные данные'!$F$2:$F$606,"55")</f>
        <v>0</v>
      </c>
      <c r="BS45" s="11">
        <f>SUMIFS('[1]Исходные данные'!$J$2:$J$606,'[1]Исходные данные'!$D$2:$D$606,"БПО 2",'[1]Исходные данные'!$F$2:$F$606,"55")</f>
        <v>0</v>
      </c>
      <c r="BT45" s="11">
        <f>SUMIFS('[1]Исходные данные'!$I$2:$I$606,'[1]Исходные данные'!$D$2:$D$606,"ЛД",'[1]Исходные данные'!$F$2:$F$606,"55")</f>
        <v>0</v>
      </c>
      <c r="BU45" s="11">
        <f>SUMIFS('[1]Исходные данные'!$J$2:$J$606,'[1]Исходные данные'!$D$2:$D$606,"ЛД",'[1]Исходные данные'!$F$2:$F$606,"55")</f>
        <v>0</v>
      </c>
      <c r="BV45" s="11">
        <f>SUMIFS('[1]Исходные данные'!$I$2:$I$606,'[1]Исходные данные'!$D$2:$D$606,"Отделкадр",'[1]Исходные данные'!$F$2:$F$606,"55")</f>
        <v>0</v>
      </c>
      <c r="BW45" s="11">
        <f>SUMIFS('[1]Исходные данные'!$J$2:$J$606,'[1]Исходные данные'!$D$2:$D$606,"Отделкадр",'[1]Исходные данные'!$F$2:$F$606,"55")</f>
        <v>0</v>
      </c>
      <c r="BX45" s="11">
        <f>SUMIFS('[1]Исходные данные'!$I$2:$I$606,'[1]Исходные данные'!$D$2:$D$606,"ЦИТС.",'[1]Исходные данные'!$F$2:$F$606,"55")</f>
        <v>0</v>
      </c>
      <c r="BY45" s="11">
        <f>SUMIFS('[1]Исходные данные'!$J$2:$J$606,'[1]Исходные данные'!$D$2:$D$606,"ЦИТС.",'[1]Исходные данные'!$F$2:$F$606,"55")</f>
        <v>0</v>
      </c>
      <c r="BZ45" s="11">
        <f>SUMIFS('[1]Исходные данные'!$I$2:$I$606,'[1]Исходные данные'!$D$2:$D$606,"ОБО",'[1]Исходные данные'!$F$2:$F$606,"55")</f>
        <v>0</v>
      </c>
      <c r="CA45" s="11">
        <f>SUMIFS('[1]Исходные данные'!$J$2:$J$606,'[1]Исходные данные'!$D$2:$D$606,"ОБО",'[1]Исходные данные'!$F$2:$F$606,"55")</f>
        <v>0</v>
      </c>
      <c r="CB45" s="11">
        <f>SUMIFS('[1]Исходные данные'!$I$2:$I$606,'[1]Исходные данные'!$D$2:$D$606,"УЖЭО",'[1]Исходные данные'!$F$2:$F$606,"55")</f>
        <v>0</v>
      </c>
      <c r="CC45" s="11">
        <f>SUMIFS('[1]Исходные данные'!$J$2:$J$606,'[1]Исходные данные'!$D$2:$D$606,"УЖЭО",'[1]Исходные данные'!$F$2:$F$606,"55")</f>
        <v>0</v>
      </c>
      <c r="CD45" s="11">
        <f>SUMIFS('[1]Исходные данные'!$I$2:$I$606,'[1]Исходные данные'!$D$2:$D$606,"Мухтар/Хамит",'[1]Исходные данные'!$F$2:$F$606,"55")</f>
        <v>0</v>
      </c>
      <c r="CE45" s="11">
        <f>SUMIFS('[1]Исходные данные'!$J$2:$J$606,'[1]Исходные данные'!$D$2:$D$606,"Мухтар/Хамит",'[1]Исходные данные'!$F$2:$F$606,"55")</f>
        <v>0</v>
      </c>
      <c r="CF45" s="11">
        <f>SUMIFS('[1]Исходные данные'!$I$2:$I$606,'[1]Исходные данные'!$D$2:$D$606,"ОБО-    СБ",'[1]Исходные данные'!$F$2:$F$606,"55")</f>
        <v>0</v>
      </c>
      <c r="CG45" s="11">
        <f>SUMIFS('[1]Исходные данные'!$J$2:$J$606,'[1]Исходные данные'!$D$2:$D$606,"ОБО-    СБ",'[1]Исходные данные'!$F$2:$F$606,"55")</f>
        <v>0</v>
      </c>
      <c r="CH45" s="11">
        <f>SUMIFS('[1]Исходные данные'!$I$2:$I$606,'[1]Исходные данные'!$D$2:$D$606,"РМУ 2",'[1]Исходные данные'!$F$2:$F$606,"55")</f>
        <v>0</v>
      </c>
      <c r="CI45" s="11">
        <f>SUMIFS('[1]Исходные данные'!$J$2:$J$606,'[1]Исходные данные'!$D$2:$D$606,"РМУ 2",'[1]Исходные данные'!$F$2:$F$606,"55")</f>
        <v>0</v>
      </c>
      <c r="CJ45" s="11">
        <f>SUMIFS('[1]Исходные данные'!$I$2:$I$606,'[1]Исходные данные'!$D$2:$D$606,"ГАПиИТ",'[1]Исходные данные'!$F$2:$F$606,"55")</f>
        <v>0</v>
      </c>
      <c r="CK45" s="11">
        <f>SUMIFS('[1]Исходные данные'!$J$2:$J$606,'[1]Исходные данные'!$D$2:$D$606,"ГАПиИТ",'[1]Исходные данные'!$F$2:$F$606,"55")</f>
        <v>0</v>
      </c>
      <c r="CL45" s="11">
        <f>SUMIFS('[1]Исходные данные'!$I$2:$I$606,'[1]Исходные данные'!$D$2:$D$606,"ОМ",'[1]Исходные данные'!$F$2:$F$606,"55")</f>
        <v>0</v>
      </c>
      <c r="CM45" s="11">
        <f>SUMIFS('[1]Исходные данные'!$J$2:$J$606,'[1]Исходные данные'!$D$2:$D$606,"ОМ",'[1]Исходные данные'!$F$2:$F$606,"55")</f>
        <v>0</v>
      </c>
      <c r="CN45" s="11">
        <f>SUMIFS('[1]Исходные данные'!$I$2:$I$606,'[1]Исходные данные'!$D$2:$D$606,"оппоIR",'[1]Исходные данные'!$F$2:$F$606,"55")</f>
        <v>0</v>
      </c>
      <c r="CO45" s="11">
        <f>SUMIFS('[1]Исходные данные'!$J$2:$J$606,'[1]Исходные данные'!$D$2:$D$606,"оппоIR",'[1]Исходные данные'!$F$2:$F$606,"55")</f>
        <v>0</v>
      </c>
      <c r="CP45" s="11">
        <f>SUMIFS('[1]Исходные данные'!$I$2:$I$606,'[1]Исходные данные'!$D$2:$D$606,"Маркшейдер",'[1]Исходные данные'!$F$2:$F$606,"55")</f>
        <v>0</v>
      </c>
      <c r="CQ45" s="11">
        <f>SUMIFS('[1]Исходные данные'!$J$2:$J$606,'[1]Исходные данные'!$D$2:$D$606,"Маркшейдер",'[1]Исходные данные'!$F$2:$F$606,"55")</f>
        <v>0</v>
      </c>
      <c r="CR45" s="11">
        <f>SUMIFS('[1]Исходные данные'!$I$2:$I$606,'[1]Исходные данные'!$D$2:$D$606,"ПСО",'[1]Исходные данные'!$F$2:$F$606,"55")</f>
        <v>0</v>
      </c>
      <c r="CS45" s="11">
        <f>SUMIFS('[1]Исходные данные'!$J$2:$J$606,'[1]Исходные данные'!$D$2:$D$606,"ПСО",'[1]Исходные данные'!$F$2:$F$606,"55")</f>
        <v>0</v>
      </c>
    </row>
    <row r="46" spans="1:97" x14ac:dyDescent="0.25">
      <c r="A46" s="13" t="s">
        <v>137</v>
      </c>
      <c r="B46" s="11" t="s">
        <v>138</v>
      </c>
      <c r="C46" s="10">
        <f t="shared" si="0"/>
        <v>1</v>
      </c>
      <c r="D46" s="10">
        <f t="shared" si="1"/>
        <v>1</v>
      </c>
      <c r="E46" s="10">
        <f t="shared" si="1"/>
        <v>0</v>
      </c>
      <c r="F46" s="11">
        <f>SUMIFS('[1]Исходные данные'!$I$2:$I$606,'[1]Исходные данные'!$D$2:$D$606,"ЦДН-1",'[1]Исходные данные'!$F$2:$F$606,"30")</f>
        <v>0</v>
      </c>
      <c r="G46" s="11">
        <f>SUMIFS('[1]Исходные данные'!$J$2:$J$606,'[1]Исходные данные'!$D$2:$D$606,"ЦДН-1",'[1]Исходные данные'!$F$2:$F$606,"30")</f>
        <v>0</v>
      </c>
      <c r="H46" s="11">
        <f>SUMIFS('[1]Исходные данные'!$I$2:$I$606,'[1]Исходные данные'!$D$2:$D$606,"ЦДН-2",'[1]Исходные данные'!$F$2:$F$606,"30")</f>
        <v>0</v>
      </c>
      <c r="I46" s="11">
        <f>SUMIFS('[1]Исходные данные'!$J$2:$J$606,'[1]Исходные данные'!$D$2:$D$606,"ЦДН-2",'[1]Исходные данные'!$F$2:$F$606,"30")</f>
        <v>0</v>
      </c>
      <c r="J46" s="11">
        <f>SUMIFS('[1]Исходные данные'!$I$2:$I$606,'[1]Исходные данные'!$D$2:$D$606,"ЦДН-3",'[1]Исходные данные'!$F$2:$F$606,"30")</f>
        <v>0</v>
      </c>
      <c r="K46" s="11">
        <f>SUMIFS('[1]Исходные данные'!$J$2:$J$606,'[1]Исходные данные'!$D$2:$D$606,"ЦДН-3",'[1]Исходные данные'!$F$2:$F$606,"30")</f>
        <v>0</v>
      </c>
      <c r="L46" s="11">
        <f>SUMIFS('[1]Исходные данные'!$I$2:$I$606,'[1]Исходные данные'!$D$2:$D$606,"ЦППН",'[1]Исходные данные'!$F$2:$F$606,"30")</f>
        <v>0</v>
      </c>
      <c r="M46" s="11">
        <f>SUMIFS('[1]Исходные данные'!$J$2:$J$606,'[1]Исходные данные'!$D$2:$D$606,"ЦППН",'[1]Исходные данные'!$F$2:$F$606,"30")</f>
        <v>0</v>
      </c>
      <c r="N46" s="11">
        <f>SUMIFS('[1]Исходные данные'!$I$2:$I$606,'[1]Исходные данные'!$D$2:$D$606,"ЦППД",'[1]Исходные данные'!$F$2:$F$606,"30")</f>
        <v>0</v>
      </c>
      <c r="O46" s="11">
        <f>SUMIFS('[1]Исходные данные'!$J$2:$J$606,'[1]Исходные данные'!$D$2:$D$606,"ЦППД",'[1]Исходные данные'!$F$2:$F$606,"30")</f>
        <v>0</v>
      </c>
      <c r="P46" s="11">
        <f>SUMIFS('[1]Исходные данные'!$I$2:$I$606,'[1]Исходные данные'!$D$2:$D$606,"ЭЦ",'[1]Исходные данные'!$F$2:$F$606,"30")</f>
        <v>0</v>
      </c>
      <c r="Q46" s="11">
        <f>SUMIFS('[1]Исходные данные'!$J$2:$J$606,'[1]Исходные данные'!$D$2:$D$606,"ЭЦ",'[1]Исходные данные'!$F$2:$F$606,"30")</f>
        <v>0</v>
      </c>
      <c r="R46" s="11">
        <f>SUMIFS('[1]Исходные данные'!$I$2:$I$606,'[1]Исходные данные'!$D$2:$D$606,"ОКС",'[1]Исходные данные'!$F$2:$F$606,"30")</f>
        <v>0</v>
      </c>
      <c r="S46" s="11">
        <f>SUMIFS('[1]Исходные данные'!$J$2:$J$606,'[1]Исходные данные'!$D$2:$D$606,"ОКС",'[1]Исходные данные'!$F$2:$F$606,"30")</f>
        <v>0</v>
      </c>
      <c r="T46" s="11">
        <f>SUMIFS('[1]Исходные данные'!$I$2:$I$606,'[1]Исходные данные'!$D$2:$D$606,"РСЦ",'[1]Исходные данные'!$F$2:$F$606,"30")</f>
        <v>0</v>
      </c>
      <c r="U46" s="11">
        <f>SUMIFS('[1]Исходные данные'!$J$2:$J$606,'[1]Исходные данные'!$D$2:$D$606,"РСЦ",'[1]Исходные данные'!$F$2:$F$606,"30")</f>
        <v>0</v>
      </c>
      <c r="V46" s="11">
        <f>SUMIFS('[1]Исходные данные'!$I$2:$I$606,'[1]Исходные данные'!$D$2:$D$606,"ЦИТС",'[1]Исходные данные'!$F$2:$F$606,"30")</f>
        <v>0</v>
      </c>
      <c r="W46" s="11">
        <f>SUMIFS('[1]Исходные данные'!$J$2:$J$606,'[1]Исходные данные'!$D$2:$D$606,"ЦИТС",'[1]Исходные данные'!$F$2:$F$606,"30")</f>
        <v>0</v>
      </c>
      <c r="X46" s="11">
        <f>SUMIFS('[1]Исходные данные'!$I$2:$I$606,'[1]Исходные данные'!$D$2:$D$606,"ПРЦЭО",'[1]Исходные данные'!$F$2:$F$606,"30")</f>
        <v>0</v>
      </c>
      <c r="Y46" s="11">
        <f>SUMIFS('[1]Исходные данные'!$J$2:$J$606,'[1]Исходные данные'!$D$2:$D$606,"ПРЦЭО",'[1]Исходные данные'!$F$2:$F$606,"30")</f>
        <v>0</v>
      </c>
      <c r="Z46" s="11">
        <f>SUMIFS('[1]Исходные данные'!$I$2:$I$606,'[1]Исходные данные'!$D$2:$D$606,"ГЦ",'[1]Исходные данные'!$F$2:$F$606,"30")</f>
        <v>0</v>
      </c>
      <c r="AA46" s="11">
        <f>SUMIFS('[1]Исходные данные'!$J$2:$J$606,'[1]Исходные данные'!$D$2:$D$606,"ГЦ",'[1]Исходные данные'!$F$2:$F$606,"30")</f>
        <v>0</v>
      </c>
      <c r="AB46" s="11">
        <f>SUMIFS('[1]Исходные данные'!$I$2:$I$606,'[1]Исходные данные'!$D$2:$D$606,"ЦПП",'[1]Исходные данные'!$F$2:$F$606,"30")</f>
        <v>0</v>
      </c>
      <c r="AC46" s="11">
        <f>SUMIFS('[1]Исходные данные'!$J$2:$J$606,'[1]Исходные данные'!$D$2:$D$606,"ЦПП",'[1]Исходные данные'!$F$2:$F$606,"30")</f>
        <v>0</v>
      </c>
      <c r="AD46" s="11">
        <f>SUMIFS('[1]Исходные данные'!$I$2:$I$606,'[1]Исходные данные'!$D$2:$D$606,"БМТС",'[1]Исходные данные'!$F$2:$F$606,"30")</f>
        <v>1</v>
      </c>
      <c r="AE46" s="11">
        <f>SUMIFS('[1]Исходные данные'!$J$2:$J$606,'[1]Исходные данные'!$D$2:$D$606,"БМТС",'[1]Исходные данные'!$F$2:$F$606,"30")</f>
        <v>0</v>
      </c>
      <c r="AF46" s="11">
        <f>SUMIFS('[1]Исходные данные'!$I$2:$I$606,'[1]Исходные данные'!$D$2:$D$606,"УБиПКРС-1",'[1]Исходные данные'!$F$2:$F$606,"30")</f>
        <v>0</v>
      </c>
      <c r="AG46" s="11">
        <f>SUMIFS('[1]Исходные данные'!$J$2:$J$606,'[1]Исходные данные'!$D$2:$D$606,"УБиПКРС-1",'[1]Исходные данные'!$F$2:$F$606,"30")</f>
        <v>0</v>
      </c>
      <c r="AH46" s="11">
        <f>SUMIFS('[1]Исходные данные'!$I$2:$I$606,'[1]Исходные данные'!$D$2:$D$606,"УБиПКРС-2",'[1]Исходные данные'!$F$2:$F$606,"30")</f>
        <v>0</v>
      </c>
      <c r="AI46" s="11">
        <f>SUMIFS('[1]Исходные данные'!$J$2:$J$606,'[1]Исходные данные'!$D$2:$D$606,"УБиПКРС-2",'[1]Исходные данные'!$F$2:$F$606,"30")</f>
        <v>0</v>
      </c>
      <c r="AJ46" s="11">
        <f>SUMIFS('[1]Исходные данные'!$I$2:$I$606,'[1]Исходные данные'!$D$2:$D$606,"ДТТ-1",'[1]Исходные данные'!$F$2:$F$606,"30")</f>
        <v>0</v>
      </c>
      <c r="AK46" s="11">
        <f>SUMIFS('[1]Исходные данные'!$J$2:$J$606,'[1]Исходные данные'!$D$2:$D$606,"ДТТ-1",'[1]Исходные данные'!$F$2:$F$606,"30")</f>
        <v>0</v>
      </c>
      <c r="AL46" s="11">
        <f>SUMIFS('[1]Исходные данные'!$I$2:$I$606,'[1]Исходные данные'!$D$2:$D$606,"ЦНИПР",'[1]Исходные данные'!$F$2:$F$606,"30")</f>
        <v>0</v>
      </c>
      <c r="AM46" s="11">
        <f>SUMIFS('[1]Исходные данные'!$J$2:$J$606,'[1]Исходные данные'!$D$2:$D$606,"ЦНИПР",'[1]Исходные данные'!$F$2:$F$606,"30")</f>
        <v>0</v>
      </c>
      <c r="AN46" s="11">
        <f>SUMIFS('[1]Исходные данные'!$I$2:$I$606,'[1]Исходные данные'!$D$2:$D$606,"ОБиПКРС",'[1]Исходные данные'!$F$2:$F$606,"30")</f>
        <v>0</v>
      </c>
      <c r="AO46" s="11">
        <f>SUMIFS('[1]Исходные данные'!$J$2:$J$606,'[1]Исходные данные'!$D$2:$D$606,"ОБиПКРС",'[1]Исходные данные'!$F$2:$F$606,"30")</f>
        <v>0</v>
      </c>
      <c r="AP46" s="11">
        <f>SUMIFS('[1]Исходные данные'!$I$2:$I$606,'[1]Исходные данные'!$D$2:$D$606,"ЦАП",'[1]Исходные данные'!$F$2:$F$606,"30")</f>
        <v>0</v>
      </c>
      <c r="AQ46" s="11">
        <f>SUMIFS('[1]Исходные данные'!$J$2:$J$606,'[1]Исходные данные'!$D$2:$D$606,"ЦАП",'[1]Исходные данные'!$F$2:$F$606,"30")</f>
        <v>0</v>
      </c>
      <c r="AR46" s="11">
        <f>SUMIFS('[1]Исходные данные'!$I$2:$I$606,'[1]Исходные данные'!$D$2:$D$606,"ГООС",'[1]Исходные данные'!$F$2:$F$606,"30")</f>
        <v>0</v>
      </c>
      <c r="AS46" s="11">
        <f>SUMIFS('[1]Исходные данные'!$J$2:$J$606,'[1]Исходные данные'!$D$2:$D$606,"ГООС",'[1]Исходные данные'!$F$2:$F$606,"30")</f>
        <v>0</v>
      </c>
      <c r="AT46" s="11">
        <f>SUMIFS('[1]Исходные данные'!$I$2:$I$606,'[1]Исходные данные'!$D$2:$D$606,"Ақкетік",'[1]Исходные данные'!$F$2:$F$606,"30")</f>
        <v>0</v>
      </c>
      <c r="AU46" s="11">
        <f>SUMIFS('[1]Исходные данные'!$J$2:$J$606,'[1]Исходные данные'!$D$2:$D$606,"Ақкетік",'[1]Исходные данные'!$F$2:$F$606,"30")</f>
        <v>0</v>
      </c>
      <c r="AV46" s="11">
        <f>SUMIFS('[1]Исходные данные'!$I$2:$I$606,'[1]Исходные данные'!$D$2:$D$606,"Нейрон",'[1]Исходные данные'!$F$2:$F$606,"30")</f>
        <v>0</v>
      </c>
      <c r="AW46" s="11">
        <f>SUMIFS('[1]Исходные данные'!$J$2:$J$606,'[1]Исходные данные'!$D$2:$D$606,"Нейрон",'[1]Исходные данные'!$F$2:$F$606,"30")</f>
        <v>0</v>
      </c>
      <c r="AX46" s="11">
        <f>SUMIFS('[1]Исходные данные'!$I$2:$I$606,'[1]Исходные данные'!$D$2:$D$606,"Бурение",'[1]Исходные данные'!$F$2:$F$606,"30")</f>
        <v>0</v>
      </c>
      <c r="AY46" s="11">
        <f>SUMIFS('[1]Исходные данные'!$J$2:$J$606,'[1]Исходные данные'!$D$2:$D$606,"Бурение",'[1]Исходные данные'!$F$2:$F$606,"30")</f>
        <v>0</v>
      </c>
      <c r="AZ46" s="11">
        <f>SUMIFS('[1]Исходные данные'!$I$2:$I$606,'[1]Исходные данные'!$D$2:$D$606,"ЦТВС",'[1]Исходные данные'!$F$2:$F$606,"30")</f>
        <v>0</v>
      </c>
      <c r="BA46" s="11">
        <f>SUMIFS('[1]Исходные данные'!$J$2:$J$606,'[1]Исходные данные'!$D$2:$D$606,"ЦТВС",'[1]Исходные данные'!$F$2:$F$606,"30")</f>
        <v>0</v>
      </c>
      <c r="BB46" s="11">
        <f>SUMIFS('[1]Исходные данные'!$I$2:$I$606,'[1]Исходные данные'!$D$2:$D$606,"ТБ",'[1]Исходные данные'!$F$2:$F$606,"30")</f>
        <v>0</v>
      </c>
      <c r="BC46" s="11">
        <f>SUMIFS('[1]Исходные данные'!$J$2:$J$606,'[1]Исходные данные'!$D$2:$D$606,"ТБ",'[1]Исходные данные'!$F$2:$F$606,"30")</f>
        <v>0</v>
      </c>
      <c r="BD46" s="11">
        <f>SUMIFS('[1]Исходные данные'!$I$2:$I$606,'[1]Исходные данные'!$D$2:$D$606,"ОТДН",'[1]Исходные данные'!$F$2:$F$606,"30")</f>
        <v>0</v>
      </c>
      <c r="BE46" s="11">
        <f>SUMIFS('[1]Исходные данные'!$J$2:$J$606,'[1]Исходные данные'!$D$2:$D$606,"ОТДН",'[1]Исходные данные'!$F$2:$F$606,"30")</f>
        <v>0</v>
      </c>
      <c r="BF46" s="11">
        <f>SUMIFS('[1]Исходные данные'!$I$2:$I$606,'[1]Исходные данные'!$D$2:$D$606,"ПЧ-Семсер",'[1]Исходные данные'!$F$2:$F$606,"30")</f>
        <v>0</v>
      </c>
      <c r="BG46" s="11">
        <f>SUMIFS('[1]Исходные данные'!$J$2:$J$606,'[1]Исходные данные'!$D$2:$D$606,"ПЧ-Семсер",'[1]Исходные данные'!$F$2:$F$606,"30")</f>
        <v>0</v>
      </c>
      <c r="BH46" s="11">
        <f>SUMIFS('[1]Исходные данные'!$I$2:$I$606,'[1]Исходные данные'!$D$2:$D$606,"ПРЦЭО(2)",'[1]Исходные данные'!$F$2:$F$606,"30")</f>
        <v>0</v>
      </c>
      <c r="BI46" s="11">
        <f>SUMIFS('[1]Исходные данные'!$J$2:$J$606,'[1]Исходные данные'!$D$2:$D$606,"ПРЦЭО(2)",'[1]Исходные данные'!$F$2:$F$606,"30")</f>
        <v>0</v>
      </c>
      <c r="BJ46" s="11">
        <f>SUMIFS('[1]Исходные данные'!$I$2:$I$606,'[1]Исходные данные'!$D$2:$D$606,"БД",'[1]Исходные данные'!$F$2:$F$606,"30")</f>
        <v>0</v>
      </c>
      <c r="BK46" s="11">
        <f>SUMIFS('[1]Исходные данные'!$J$2:$J$606,'[1]Исходные данные'!$D$2:$D$606,"БД",'[1]Исходные данные'!$F$2:$F$606,"30")</f>
        <v>0</v>
      </c>
      <c r="BL46" s="11">
        <f>SUMIFS('[1]Исходные данные'!$I$2:$I$606,'[1]Исходные данные'!$D$2:$D$606,"ОГиР",'[1]Исходные данные'!$F$2:$F$606,"30")</f>
        <v>0</v>
      </c>
      <c r="BM46" s="11">
        <f>SUMIFS('[1]Исходные данные'!$J$2:$J$606,'[1]Исходные данные'!$D$2:$D$606,"ОГиР",'[1]Исходные данные'!$F$2:$F$606,"30")</f>
        <v>0</v>
      </c>
      <c r="BN46" s="11">
        <f>SUMIFS('[1]Исходные данные'!$I$2:$I$606,'[1]Исходные данные'!$D$2:$D$606,"ГСРиВК",'[1]Исходные данные'!$F$2:$F$606,"30")</f>
        <v>0</v>
      </c>
      <c r="BO46" s="11">
        <f>SUMIFS('[1]Исходные данные'!$J$2:$J$606,'[1]Исходные данные'!$D$2:$D$606,"ГСРиВК",'[1]Исходные данные'!$F$2:$F$606,"30")</f>
        <v>0</v>
      </c>
      <c r="BP46" s="11">
        <f>SUMIFS('[1]Исходные данные'!$I$2:$I$606,'[1]Исходные данные'!$D$2:$D$606,"МПГУ",'[1]Исходные данные'!$F$2:$F$606,"30")</f>
        <v>0</v>
      </c>
      <c r="BQ46" s="11">
        <f>SUMIFS('[1]Исходные данные'!$J$2:$J$606,'[1]Исходные данные'!$D$2:$D$606,"МПГУ",'[1]Исходные данные'!$F$2:$F$606,"30")</f>
        <v>0</v>
      </c>
      <c r="BR46" s="11">
        <f>SUMIFS('[1]Исходные данные'!$I$2:$I$606,'[1]Исходные данные'!$D$2:$D$606,"БПО 2",'[1]Исходные данные'!$F$2:$F$606,"30")</f>
        <v>0</v>
      </c>
      <c r="BS46" s="11">
        <f>SUMIFS('[1]Исходные данные'!$J$2:$J$606,'[1]Исходные данные'!$D$2:$D$606,"БПО 2",'[1]Исходные данные'!$F$2:$F$606,"30")</f>
        <v>0</v>
      </c>
      <c r="BT46" s="11">
        <f>SUMIFS('[1]Исходные данные'!$I$2:$I$606,'[1]Исходные данные'!$D$2:$D$606,"ЛД",'[1]Исходные данные'!$F$2:$F$606,"30")</f>
        <v>0</v>
      </c>
      <c r="BU46" s="11">
        <f>SUMIFS('[1]Исходные данные'!$J$2:$J$606,'[1]Исходные данные'!$D$2:$D$606,"ЛД",'[1]Исходные данные'!$F$2:$F$606,"30")</f>
        <v>0</v>
      </c>
      <c r="BV46" s="11">
        <f>SUMIFS('[1]Исходные данные'!$I$2:$I$606,'[1]Исходные данные'!$D$2:$D$606,"Отделкадр",'[1]Исходные данные'!$F$2:$F$606,"30")</f>
        <v>0</v>
      </c>
      <c r="BW46" s="11">
        <f>SUMIFS('[1]Исходные данные'!$J$2:$J$606,'[1]Исходные данные'!$D$2:$D$606,"Отделкадр",'[1]Исходные данные'!$F$2:$F$606,"30")</f>
        <v>0</v>
      </c>
      <c r="BX46" s="11">
        <f>SUMIFS('[1]Исходные данные'!$I$2:$I$606,'[1]Исходные данные'!$D$2:$D$606,"ЦИТС.",'[1]Исходные данные'!$F$2:$F$606,"30")</f>
        <v>0</v>
      </c>
      <c r="BY46" s="11">
        <f>SUMIFS('[1]Исходные данные'!$J$2:$J$606,'[1]Исходные данные'!$D$2:$D$606,"ЦИТС.",'[1]Исходные данные'!$F$2:$F$606,"30")</f>
        <v>0</v>
      </c>
      <c r="BZ46" s="11">
        <f>SUMIFS('[1]Исходные данные'!$I$2:$I$606,'[1]Исходные данные'!$D$2:$D$606,"ОБО",'[1]Исходные данные'!$F$2:$F$606,"30")</f>
        <v>0</v>
      </c>
      <c r="CA46" s="11">
        <f>SUMIFS('[1]Исходные данные'!$J$2:$J$606,'[1]Исходные данные'!$D$2:$D$606,"ОБО",'[1]Исходные данные'!$F$2:$F$606,"30")</f>
        <v>0</v>
      </c>
      <c r="CB46" s="11">
        <f>SUMIFS('[1]Исходные данные'!$I$2:$I$606,'[1]Исходные данные'!$D$2:$D$606,"УЖЭО",'[1]Исходные данные'!$F$2:$F$606,"30")</f>
        <v>0</v>
      </c>
      <c r="CC46" s="11">
        <f>SUMIFS('[1]Исходные данные'!$J$2:$J$606,'[1]Исходные данные'!$D$2:$D$606,"УЖЭО",'[1]Исходные данные'!$F$2:$F$606,"30")</f>
        <v>0</v>
      </c>
      <c r="CD46" s="11">
        <f>SUMIFS('[1]Исходные данные'!$I$2:$I$606,'[1]Исходные данные'!$D$2:$D$606,"Мухтар/Хамит",'[1]Исходные данные'!$F$2:$F$606,"30")</f>
        <v>0</v>
      </c>
      <c r="CE46" s="11">
        <f>SUMIFS('[1]Исходные данные'!$J$2:$J$606,'[1]Исходные данные'!$D$2:$D$606,"Мухтар/Хамит",'[1]Исходные данные'!$F$2:$F$606,"30")</f>
        <v>0</v>
      </c>
      <c r="CF46" s="11">
        <f>SUMIFS('[1]Исходные данные'!$I$2:$I$606,'[1]Исходные данные'!$D$2:$D$606,"ОБО-    СБ",'[1]Исходные данные'!$F$2:$F$606,"30")</f>
        <v>0</v>
      </c>
      <c r="CG46" s="11">
        <f>SUMIFS('[1]Исходные данные'!$J$2:$J$606,'[1]Исходные данные'!$D$2:$D$606,"ОБО-    СБ",'[1]Исходные данные'!$F$2:$F$606,"30")</f>
        <v>0</v>
      </c>
      <c r="CH46" s="11">
        <f>SUMIFS('[1]Исходные данные'!$I$2:$I$606,'[1]Исходные данные'!$D$2:$D$606,"РМУ 2",'[1]Исходные данные'!$F$2:$F$606,"30")</f>
        <v>0</v>
      </c>
      <c r="CI46" s="11">
        <f>SUMIFS('[1]Исходные данные'!$J$2:$J$606,'[1]Исходные данные'!$D$2:$D$606,"РМУ 2",'[1]Исходные данные'!$F$2:$F$606,"30")</f>
        <v>0</v>
      </c>
      <c r="CJ46" s="11">
        <f>SUMIFS('[1]Исходные данные'!$I$2:$I$606,'[1]Исходные данные'!$D$2:$D$606,"ГАПиИТ",'[1]Исходные данные'!$F$2:$F$606,"30")</f>
        <v>0</v>
      </c>
      <c r="CK46" s="11">
        <f>SUMIFS('[1]Исходные данные'!$J$2:$J$606,'[1]Исходные данные'!$D$2:$D$606,"ГАПиИТ",'[1]Исходные данные'!$F$2:$F$606,"30")</f>
        <v>0</v>
      </c>
      <c r="CL46" s="11">
        <f>SUMIFS('[1]Исходные данные'!$I$2:$I$606,'[1]Исходные данные'!$D$2:$D$606,"ОМ",'[1]Исходные данные'!$F$2:$F$606,"30")</f>
        <v>0</v>
      </c>
      <c r="CM46" s="11">
        <f>SUMIFS('[1]Исходные данные'!$J$2:$J$606,'[1]Исходные данные'!$D$2:$D$606,"ОМ",'[1]Исходные данные'!$F$2:$F$606,"30")</f>
        <v>0</v>
      </c>
      <c r="CN46" s="11">
        <f>SUMIFS('[1]Исходные данные'!$I$2:$I$606,'[1]Исходные данные'!$D$2:$D$606,"оппоIR",'[1]Исходные данные'!$F$2:$F$606,"30")</f>
        <v>0</v>
      </c>
      <c r="CO46" s="11">
        <f>SUMIFS('[1]Исходные данные'!$J$2:$J$606,'[1]Исходные данные'!$D$2:$D$606,"оппоIR",'[1]Исходные данные'!$F$2:$F$606,"30")</f>
        <v>0</v>
      </c>
      <c r="CP46" s="11">
        <f>SUMIFS('[1]Исходные данные'!$I$2:$I$606,'[1]Исходные данные'!$D$2:$D$606,"Маркшейдер",'[1]Исходные данные'!$F$2:$F$606,"30")</f>
        <v>0</v>
      </c>
      <c r="CQ46" s="11">
        <f>SUMIFS('[1]Исходные данные'!$J$2:$J$606,'[1]Исходные данные'!$D$2:$D$606,"Маркшейдер",'[1]Исходные данные'!$F$2:$F$606,"30")</f>
        <v>0</v>
      </c>
      <c r="CR46" s="11">
        <f>SUMIFS('[1]Исходные данные'!$I$2:$I$606,'[1]Исходные данные'!$D$2:$D$606,"ПСО",'[1]Исходные данные'!$F$2:$F$606,"30")</f>
        <v>0</v>
      </c>
      <c r="CS46" s="11">
        <f>SUMIFS('[1]Исходные данные'!$J$2:$J$606,'[1]Исходные данные'!$D$2:$D$606,"ПСО",'[1]Исходные данные'!$F$2:$F$606,"30")</f>
        <v>0</v>
      </c>
    </row>
    <row r="47" spans="1:97" x14ac:dyDescent="0.25">
      <c r="A47" s="14"/>
      <c r="B47" s="15" t="s">
        <v>139</v>
      </c>
      <c r="C47" s="16">
        <f t="shared" si="0"/>
        <v>626</v>
      </c>
      <c r="D47" s="16">
        <f t="shared" si="1"/>
        <v>499</v>
      </c>
      <c r="E47" s="16">
        <f t="shared" si="1"/>
        <v>127</v>
      </c>
      <c r="F47" s="15">
        <f t="shared" ref="F47:BQ47" si="2">SUM(F3:F46)</f>
        <v>42</v>
      </c>
      <c r="G47" s="15">
        <f t="shared" si="2"/>
        <v>13</v>
      </c>
      <c r="H47" s="15">
        <f t="shared" si="2"/>
        <v>37</v>
      </c>
      <c r="I47" s="15">
        <f t="shared" si="2"/>
        <v>6</v>
      </c>
      <c r="J47" s="15">
        <f t="shared" si="2"/>
        <v>66</v>
      </c>
      <c r="K47" s="15">
        <f t="shared" si="2"/>
        <v>15</v>
      </c>
      <c r="L47" s="15">
        <f t="shared" si="2"/>
        <v>3</v>
      </c>
      <c r="M47" s="15">
        <f t="shared" si="2"/>
        <v>0</v>
      </c>
      <c r="N47" s="15">
        <f t="shared" si="2"/>
        <v>19</v>
      </c>
      <c r="O47" s="15">
        <f t="shared" si="2"/>
        <v>1</v>
      </c>
      <c r="P47" s="15">
        <f t="shared" si="2"/>
        <v>26</v>
      </c>
      <c r="Q47" s="15">
        <f t="shared" si="2"/>
        <v>3</v>
      </c>
      <c r="R47" s="15">
        <f t="shared" si="2"/>
        <v>22</v>
      </c>
      <c r="S47" s="15">
        <f t="shared" si="2"/>
        <v>2</v>
      </c>
      <c r="T47" s="15">
        <f t="shared" si="2"/>
        <v>12</v>
      </c>
      <c r="U47" s="15">
        <f t="shared" si="2"/>
        <v>0</v>
      </c>
      <c r="V47" s="15">
        <f t="shared" si="2"/>
        <v>6</v>
      </c>
      <c r="W47" s="15">
        <f t="shared" si="2"/>
        <v>0</v>
      </c>
      <c r="X47" s="15">
        <f t="shared" si="2"/>
        <v>43</v>
      </c>
      <c r="Y47" s="15">
        <f t="shared" si="2"/>
        <v>2</v>
      </c>
      <c r="Z47" s="15">
        <f t="shared" si="2"/>
        <v>8</v>
      </c>
      <c r="AA47" s="15">
        <f t="shared" si="2"/>
        <v>2</v>
      </c>
      <c r="AB47" s="15">
        <f t="shared" si="2"/>
        <v>12</v>
      </c>
      <c r="AC47" s="15">
        <f t="shared" si="2"/>
        <v>3</v>
      </c>
      <c r="AD47" s="15">
        <f t="shared" si="2"/>
        <v>14</v>
      </c>
      <c r="AE47" s="15">
        <f t="shared" si="2"/>
        <v>0</v>
      </c>
      <c r="AF47" s="15">
        <f t="shared" si="2"/>
        <v>41</v>
      </c>
      <c r="AG47" s="15">
        <f t="shared" si="2"/>
        <v>27</v>
      </c>
      <c r="AH47" s="15">
        <f t="shared" si="2"/>
        <v>29</v>
      </c>
      <c r="AI47" s="15">
        <f t="shared" si="2"/>
        <v>27</v>
      </c>
      <c r="AJ47" s="15">
        <f t="shared" si="2"/>
        <v>17</v>
      </c>
      <c r="AK47" s="15">
        <f t="shared" si="2"/>
        <v>3</v>
      </c>
      <c r="AL47" s="15">
        <f t="shared" si="2"/>
        <v>10</v>
      </c>
      <c r="AM47" s="15">
        <f t="shared" si="2"/>
        <v>3</v>
      </c>
      <c r="AN47" s="15">
        <f t="shared" si="2"/>
        <v>6</v>
      </c>
      <c r="AO47" s="15">
        <f t="shared" si="2"/>
        <v>4</v>
      </c>
      <c r="AP47" s="15">
        <f t="shared" si="2"/>
        <v>8</v>
      </c>
      <c r="AQ47" s="15">
        <f t="shared" si="2"/>
        <v>1</v>
      </c>
      <c r="AR47" s="15">
        <f t="shared" si="2"/>
        <v>8</v>
      </c>
      <c r="AS47" s="15">
        <f t="shared" si="2"/>
        <v>0</v>
      </c>
      <c r="AT47" s="15">
        <f t="shared" si="2"/>
        <v>8</v>
      </c>
      <c r="AU47" s="15">
        <f t="shared" si="2"/>
        <v>0</v>
      </c>
      <c r="AV47" s="15">
        <f t="shared" si="2"/>
        <v>4</v>
      </c>
      <c r="AW47" s="15">
        <f t="shared" si="2"/>
        <v>3</v>
      </c>
      <c r="AX47" s="15">
        <f t="shared" si="2"/>
        <v>5</v>
      </c>
      <c r="AY47" s="15">
        <f t="shared" si="2"/>
        <v>2</v>
      </c>
      <c r="AZ47" s="15">
        <f t="shared" si="2"/>
        <v>6</v>
      </c>
      <c r="BA47" s="15">
        <f t="shared" si="2"/>
        <v>1</v>
      </c>
      <c r="BB47" s="15">
        <f t="shared" si="2"/>
        <v>6</v>
      </c>
      <c r="BC47" s="15">
        <f t="shared" si="2"/>
        <v>0</v>
      </c>
      <c r="BD47" s="15">
        <f t="shared" si="2"/>
        <v>5</v>
      </c>
      <c r="BE47" s="15">
        <f t="shared" si="2"/>
        <v>1</v>
      </c>
      <c r="BF47" s="15">
        <f t="shared" si="2"/>
        <v>1</v>
      </c>
      <c r="BG47" s="15">
        <f t="shared" si="2"/>
        <v>3</v>
      </c>
      <c r="BH47" s="15">
        <f t="shared" si="2"/>
        <v>4</v>
      </c>
      <c r="BI47" s="15">
        <f t="shared" si="2"/>
        <v>0</v>
      </c>
      <c r="BJ47" s="15">
        <f t="shared" si="2"/>
        <v>3</v>
      </c>
      <c r="BK47" s="15">
        <f t="shared" si="2"/>
        <v>0</v>
      </c>
      <c r="BL47" s="15">
        <f t="shared" si="2"/>
        <v>3</v>
      </c>
      <c r="BM47" s="15">
        <f t="shared" si="2"/>
        <v>0</v>
      </c>
      <c r="BN47" s="15">
        <f t="shared" si="2"/>
        <v>2</v>
      </c>
      <c r="BO47" s="15">
        <f t="shared" si="2"/>
        <v>1</v>
      </c>
      <c r="BP47" s="15">
        <f t="shared" si="2"/>
        <v>3</v>
      </c>
      <c r="BQ47" s="15">
        <f t="shared" si="2"/>
        <v>0</v>
      </c>
      <c r="BR47" s="15">
        <f t="shared" ref="BR47:CS47" si="3">SUM(BR3:BR46)</f>
        <v>2</v>
      </c>
      <c r="BS47" s="15">
        <f t="shared" si="3"/>
        <v>1</v>
      </c>
      <c r="BT47" s="15">
        <f t="shared" si="3"/>
        <v>2</v>
      </c>
      <c r="BU47" s="15">
        <f t="shared" si="3"/>
        <v>0</v>
      </c>
      <c r="BV47" s="15">
        <f t="shared" si="3"/>
        <v>2</v>
      </c>
      <c r="BW47" s="15">
        <f t="shared" si="3"/>
        <v>0</v>
      </c>
      <c r="BX47" s="15">
        <f t="shared" si="3"/>
        <v>2</v>
      </c>
      <c r="BY47" s="15">
        <f t="shared" si="3"/>
        <v>0</v>
      </c>
      <c r="BZ47" s="15">
        <f t="shared" si="3"/>
        <v>2</v>
      </c>
      <c r="CA47" s="15">
        <f t="shared" si="3"/>
        <v>0</v>
      </c>
      <c r="CB47" s="15">
        <f t="shared" si="3"/>
        <v>2</v>
      </c>
      <c r="CC47" s="15">
        <f t="shared" si="3"/>
        <v>0</v>
      </c>
      <c r="CD47" s="15">
        <f t="shared" si="3"/>
        <v>1</v>
      </c>
      <c r="CE47" s="15">
        <f t="shared" si="3"/>
        <v>1</v>
      </c>
      <c r="CF47" s="15">
        <f t="shared" si="3"/>
        <v>1</v>
      </c>
      <c r="CG47" s="15">
        <f t="shared" si="3"/>
        <v>1</v>
      </c>
      <c r="CH47" s="15">
        <f t="shared" si="3"/>
        <v>1</v>
      </c>
      <c r="CI47" s="15">
        <f t="shared" si="3"/>
        <v>1</v>
      </c>
      <c r="CJ47" s="15">
        <f t="shared" si="3"/>
        <v>1</v>
      </c>
      <c r="CK47" s="15">
        <f t="shared" si="3"/>
        <v>0</v>
      </c>
      <c r="CL47" s="15">
        <f t="shared" si="3"/>
        <v>1</v>
      </c>
      <c r="CM47" s="15">
        <f t="shared" si="3"/>
        <v>0</v>
      </c>
      <c r="CN47" s="15">
        <f t="shared" si="3"/>
        <v>1</v>
      </c>
      <c r="CO47" s="15">
        <f t="shared" si="3"/>
        <v>0</v>
      </c>
      <c r="CP47" s="15">
        <f t="shared" si="3"/>
        <v>1</v>
      </c>
      <c r="CQ47" s="15">
        <f t="shared" si="3"/>
        <v>0</v>
      </c>
      <c r="CR47" s="15">
        <f t="shared" si="3"/>
        <v>1</v>
      </c>
      <c r="CS47" s="15">
        <f t="shared" si="3"/>
        <v>0</v>
      </c>
    </row>
  </sheetData>
  <mergeCells count="51">
    <mergeCell ref="CN1:CO1"/>
    <mergeCell ref="CP1:CQ1"/>
    <mergeCell ref="CR1:CS1"/>
    <mergeCell ref="CB1:CC1"/>
    <mergeCell ref="CD1:CE1"/>
    <mergeCell ref="CF1:CG1"/>
    <mergeCell ref="CH1:CI1"/>
    <mergeCell ref="CJ1:CK1"/>
    <mergeCell ref="CL1:CM1"/>
    <mergeCell ref="BP1:BQ1"/>
    <mergeCell ref="BR1:BS1"/>
    <mergeCell ref="BT1:BU1"/>
    <mergeCell ref="BV1:BW1"/>
    <mergeCell ref="BX1:BY1"/>
    <mergeCell ref="BZ1:CA1"/>
    <mergeCell ref="BD1:BE1"/>
    <mergeCell ref="BF1:BG1"/>
    <mergeCell ref="BH1:BI1"/>
    <mergeCell ref="BJ1:BK1"/>
    <mergeCell ref="BL1:BM1"/>
    <mergeCell ref="BN1:BO1"/>
    <mergeCell ref="AR1:AS1"/>
    <mergeCell ref="AT1:AU1"/>
    <mergeCell ref="AV1:AW1"/>
    <mergeCell ref="AX1:AY1"/>
    <mergeCell ref="AZ1:BA1"/>
    <mergeCell ref="BB1:BC1"/>
    <mergeCell ref="AF1:AG1"/>
    <mergeCell ref="AH1:AI1"/>
    <mergeCell ref="AJ1:AK1"/>
    <mergeCell ref="AL1:AM1"/>
    <mergeCell ref="AN1:AO1"/>
    <mergeCell ref="AP1:AQ1"/>
    <mergeCell ref="T1:U1"/>
    <mergeCell ref="V1:W1"/>
    <mergeCell ref="X1:Y1"/>
    <mergeCell ref="Z1:AA1"/>
    <mergeCell ref="AB1:AC1"/>
    <mergeCell ref="AD1:AE1"/>
    <mergeCell ref="H1:I1"/>
    <mergeCell ref="J1:K1"/>
    <mergeCell ref="L1:M1"/>
    <mergeCell ref="N1:O1"/>
    <mergeCell ref="P1:Q1"/>
    <mergeCell ref="R1:S1"/>
    <mergeCell ref="A1:A2"/>
    <mergeCell ref="B1:B2"/>
    <mergeCell ref="C1:C2"/>
    <mergeCell ref="D1:D2"/>
    <mergeCell ref="E1:E2"/>
    <mergeCell ref="F1:G1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Сводка отдел×тип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Коркенбаев Марат Жалгасбекович</dc:creator>
  <cp:lastModifiedBy>Коркенбаев Марат Жалгасбекович</cp:lastModifiedBy>
  <dcterms:created xsi:type="dcterms:W3CDTF">2026-10-03T09:46:16Z</dcterms:created>
  <dcterms:modified xsi:type="dcterms:W3CDTF">2026-10-03T09:46:22Z</dcterms:modified>
</cp:coreProperties>
</file>