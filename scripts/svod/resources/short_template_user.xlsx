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utoFilterDateGrouping="1"/>
  </bookViews>
  <sheets>
    <sheet xmlns:r="http://schemas.openxmlformats.org/officeDocument/2006/relationships" name="Ежедневная сводка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;\-0;;@"/>
    <numFmt numFmtId="165" formatCode="m/d/yyyy"/>
  </numFmts>
  <fonts count="17">
    <font>
      <name val="Calibri"/>
      <charset val="1"/>
      <family val="2"/>
      <color theme="1"/>
      <sz val="11"/>
    </font>
    <font>
      <name val="Arial"/>
      <charset val="204"/>
      <family val="2"/>
      <b val="1"/>
      <sz val="9"/>
    </font>
    <font>
      <name val="Arial"/>
      <charset val="204"/>
      <family val="2"/>
      <sz val="9"/>
    </font>
    <font>
      <name val="Times New Roman"/>
      <charset val="204"/>
      <family val="1"/>
      <b val="1"/>
      <sz val="18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4"/>
    </font>
    <font>
      <name val="Times New Roman"/>
      <charset val="204"/>
      <family val="1"/>
      <sz val="16"/>
    </font>
    <font>
      <name val="Times New Roman"/>
      <charset val="204"/>
      <family val="1"/>
      <color rgb="FF00B050"/>
      <sz val="16"/>
    </font>
    <font>
      <name val="Times New Roman"/>
      <charset val="204"/>
      <family val="1"/>
      <b val="1"/>
      <color rgb="FF0000FF"/>
      <sz val="22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0"/>
    </font>
    <font>
      <name val="Arial"/>
      <charset val="204"/>
      <family val="2"/>
      <b val="1"/>
      <sz val="10"/>
    </font>
    <font>
      <name val="Arial"/>
      <charset val="204"/>
      <family val="2"/>
      <sz val="10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i val="1"/>
      <sz val="14"/>
    </font>
  </fonts>
  <fills count="13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5" fillId="0" borderId="16" applyAlignment="1" pivotButton="0" quotePrefix="0" xfId="0">
      <alignment horizontal="center"/>
    </xf>
    <xf numFmtId="0" fontId="11" fillId="0" borderId="16" applyAlignment="1" pivotButton="0" quotePrefix="0" xfId="0">
      <alignment horizontal="center"/>
    </xf>
    <xf numFmtId="0" fontId="6" fillId="0" borderId="16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0" fontId="4" fillId="0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164" fontId="1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4" borderId="17" applyAlignment="1" pivotButton="0" quotePrefix="0" xfId="0">
      <alignment horizontal="left"/>
    </xf>
    <xf numFmtId="0" fontId="9" fillId="4" borderId="18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9" fillId="4" borderId="19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0" fontId="9" fillId="4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9" fillId="4" borderId="22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9" fillId="4" borderId="1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4" fillId="4" borderId="29" applyAlignment="1" pivotButton="0" quotePrefix="0" xfId="0">
      <alignment horizontal="center" vertical="center"/>
    </xf>
    <xf numFmtId="0" fontId="10" fillId="4" borderId="30" pivotButton="0" quotePrefix="0" xfId="0"/>
    <xf numFmtId="0" fontId="10" fillId="4" borderId="29" pivotButton="0" quotePrefix="0" xfId="0"/>
    <xf numFmtId="0" fontId="10" fillId="4" borderId="31" pivotButton="0" quotePrefix="0" xfId="0"/>
    <xf numFmtId="0" fontId="10" fillId="4" borderId="28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12" fillId="0" borderId="0" pivotButton="0" quotePrefix="0" xfId="0"/>
    <xf numFmtId="0" fontId="13" fillId="6" borderId="1" pivotButton="0" quotePrefix="0" xfId="0"/>
    <xf numFmtId="0" fontId="14" fillId="0" borderId="0" pivotButton="0" quotePrefix="0" xfId="0"/>
    <xf numFmtId="49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6" fillId="7" borderId="9" applyAlignment="1" pivotButton="0" quotePrefix="0" xfId="0">
      <alignment horizontal="center" vertical="center"/>
    </xf>
    <xf numFmtId="0" fontId="4" fillId="8" borderId="17" applyAlignment="1" pivotButton="0" quotePrefix="0" xfId="0">
      <alignment horizontal="left"/>
    </xf>
    <xf numFmtId="164" fontId="4" fillId="7" borderId="16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164" fontId="4" fillId="7" borderId="24" applyAlignment="1" pivotButton="0" quotePrefix="0" xfId="0">
      <alignment horizontal="center" vertical="center"/>
    </xf>
    <xf numFmtId="0" fontId="4" fillId="8" borderId="29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4" fillId="10" borderId="17" applyAlignment="1" pivotButton="0" quotePrefix="0" xfId="0">
      <alignment horizontal="left"/>
    </xf>
    <xf numFmtId="164" fontId="4" fillId="9" borderId="16" applyAlignment="1" pivotButton="0" quotePrefix="0" xfId="0">
      <alignment horizontal="center" vertical="center"/>
    </xf>
    <xf numFmtId="0" fontId="4" fillId="10" borderId="16" applyAlignment="1" pivotButton="0" quotePrefix="0" xfId="0">
      <alignment horizontal="center" vertical="center"/>
    </xf>
    <xf numFmtId="164" fontId="4" fillId="9" borderId="24" applyAlignment="1" pivotButton="0" quotePrefix="0" xfId="0">
      <alignment horizontal="center" vertical="center"/>
    </xf>
    <xf numFmtId="0" fontId="4" fillId="10" borderId="29" applyAlignment="1" pivotButton="0" quotePrefix="0" xfId="0">
      <alignment horizontal="center" vertical="center"/>
    </xf>
    <xf numFmtId="0" fontId="7" fillId="11" borderId="9" applyAlignment="1" pivotButton="0" quotePrefix="0" xfId="0">
      <alignment horizontal="center" vertical="center"/>
    </xf>
    <xf numFmtId="0" fontId="8" fillId="12" borderId="17" applyAlignment="1" pivotButton="0" quotePrefix="0" xfId="0">
      <alignment horizontal="left"/>
    </xf>
    <xf numFmtId="164" fontId="8" fillId="11" borderId="16" applyAlignment="1" pivotButton="0" quotePrefix="0" xfId="0">
      <alignment horizontal="center" vertical="center"/>
    </xf>
    <xf numFmtId="0" fontId="8" fillId="12" borderId="16" applyAlignment="1" pivotButton="0" quotePrefix="0" xfId="0">
      <alignment horizontal="center" vertical="center"/>
    </xf>
    <xf numFmtId="0" fontId="8" fillId="11" borderId="16" applyAlignment="1" pivotButton="0" quotePrefix="0" xfId="0">
      <alignment horizontal="center" vertical="center"/>
    </xf>
    <xf numFmtId="164" fontId="8" fillId="11" borderId="24" applyAlignment="1" pivotButton="0" quotePrefix="0" xfId="0">
      <alignment horizontal="center" vertical="center"/>
    </xf>
    <xf numFmtId="0" fontId="8" fillId="12" borderId="29" applyAlignment="1" pivotButton="0" quotePrefix="0" xfId="0">
      <alignment horizontal="center" vertical="center"/>
    </xf>
    <xf numFmtId="0" fontId="15" fillId="4" borderId="17" applyAlignment="1" pivotButton="0" quotePrefix="0" xfId="0">
      <alignment horizontal="left"/>
    </xf>
    <xf numFmtId="164" fontId="15" fillId="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164" fontId="15" fillId="0" borderId="24" applyAlignment="1" pivotButton="0" quotePrefix="0" xfId="0">
      <alignment horizontal="center" vertical="center"/>
    </xf>
    <xf numFmtId="0" fontId="15" fillId="4" borderId="29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/>
    </xf>
    <xf numFmtId="0" fontId="6" fillId="0" borderId="5" applyAlignment="1" pivotButton="0" quotePrefix="0" xfId="0">
      <alignment horizontal="center" vertical="center"/>
    </xf>
    <xf numFmtId="0" fontId="6" fillId="0" borderId="34" applyAlignment="1" pivotButton="0" quotePrefix="0" xfId="0">
      <alignment horizontal="left" vertical="center"/>
    </xf>
    <xf numFmtId="0" fontId="6" fillId="0" borderId="34" applyAlignment="1" pivotButton="0" quotePrefix="0" xfId="0">
      <alignment vertical="center"/>
    </xf>
    <xf numFmtId="165" fontId="6" fillId="0" borderId="6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49" fontId="6" fillId="0" borderId="14" applyAlignment="1" pivotButton="0" quotePrefix="0" xfId="0">
      <alignment horizontal="left" vertical="center"/>
    </xf>
    <xf numFmtId="0" fontId="16" fillId="0" borderId="1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0" borderId="32" applyAlignment="1" pivotButton="0" quotePrefix="0" xfId="0">
      <alignment vertical="center"/>
    </xf>
    <xf numFmtId="0" fontId="6" fillId="0" borderId="32" applyAlignment="1" pivotButton="0" quotePrefix="0" xfId="0">
      <alignment horizontal="left" vertical="center"/>
    </xf>
    <xf numFmtId="0" fontId="6" fillId="0" borderId="32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33" applyAlignment="1" pivotButton="0" quotePrefix="0" xfId="0">
      <alignment vertical="center"/>
    </xf>
    <xf numFmtId="0" fontId="6" fillId="0" borderId="33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0" fontId="6" fillId="0" borderId="34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165" fontId="6" fillId="0" borderId="1" applyAlignment="1" pivotButton="0" quotePrefix="0" xfId="0">
      <alignment horizontal="left" vertical="center"/>
    </xf>
    <xf numFmtId="49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0" fontId="6" fillId="0" borderId="1" pivotButton="0" quotePrefix="0" xfId="0"/>
    <xf numFmtId="0" fontId="6" fillId="0" borderId="1" pivotButton="0" quotePrefix="0" xfId="0"/>
    <xf numFmtId="0" fontId="6" fillId="0" borderId="14" pivotButton="0" quotePrefix="0" xfId="0"/>
    <xf numFmtId="0" fontId="6" fillId="5" borderId="1" applyAlignment="1" pivotButton="0" quotePrefix="0" xfId="0">
      <alignment vertical="center"/>
    </xf>
    <xf numFmtId="165" fontId="6" fillId="5" borderId="1" applyAlignment="1" pivotButton="0" quotePrefix="0" xfId="0">
      <alignment vertical="center"/>
    </xf>
    <xf numFmtId="0" fontId="7" fillId="0" borderId="33" pivotButton="0" quotePrefix="0" xfId="0"/>
    <xf numFmtId="0" fontId="7" fillId="0" borderId="27" pivotButton="0" quotePrefix="0" xfId="0"/>
    <xf numFmtId="0" fontId="0" fillId="0" borderId="11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0" fillId="0" borderId="36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43" pivotButton="0" quotePrefix="0" xfId="0"/>
    <xf numFmtId="0" fontId="0" fillId="0" borderId="7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23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71"/>
  <sheetViews>
    <sheetView tabSelected="1" zoomScale="60" zoomScaleNormal="60" workbookViewId="0">
      <selection activeCell="D11" sqref="D11"/>
    </sheetView>
  </sheetViews>
  <sheetFormatPr baseColWidth="8" defaultColWidth="8.7109375" defaultRowHeight="15"/>
  <cols>
    <col width="4.28515625" customWidth="1" min="1" max="1"/>
    <col width="14.7109375" customWidth="1" min="2" max="7"/>
    <col width="4.42578125" customWidth="1" min="8" max="8"/>
    <col width="21.42578125" customWidth="1" min="9" max="9"/>
    <col width="16.7109375" customWidth="1" min="15" max="30"/>
  </cols>
  <sheetData>
    <row r="1" ht="13.5" customHeight="1">
      <c r="A1" s="7" t="inlineStr">
        <is>
          <t xml:space="preserve">           Техника құралдарының Цехтарға шығуы      </t>
        </is>
      </c>
      <c r="B1" s="130" t="n"/>
      <c r="C1" s="130" t="n"/>
      <c r="D1" s="130" t="n"/>
      <c r="E1" s="130" t="n"/>
      <c r="F1" s="130" t="n"/>
      <c r="G1" s="130" t="n"/>
      <c r="H1" s="6" t="inlineStr">
        <is>
          <t>күні                                 08.10.2026ж.</t>
        </is>
      </c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0" t="n"/>
      <c r="AA1" s="130" t="n"/>
      <c r="AB1" s="130" t="n"/>
      <c r="AC1" s="130" t="n"/>
      <c r="AD1" s="131" t="n"/>
    </row>
    <row r="2" ht="9" customHeight="1" thickBot="1">
      <c r="A2" s="132" t="n"/>
      <c r="H2" s="133" t="n"/>
      <c r="I2" s="133" t="n"/>
      <c r="J2" s="133" t="n"/>
      <c r="K2" s="133" t="n"/>
      <c r="L2" s="133" t="n"/>
      <c r="M2" s="133" t="n"/>
      <c r="N2" s="133" t="n"/>
      <c r="O2" s="133" t="n"/>
      <c r="P2" s="133" t="n"/>
      <c r="Q2" s="133" t="n"/>
      <c r="R2" s="133" t="n"/>
      <c r="S2" s="133" t="n"/>
      <c r="T2" s="133" t="n"/>
      <c r="U2" s="133" t="n"/>
      <c r="V2" s="133" t="n"/>
      <c r="W2" s="133" t="n"/>
      <c r="X2" s="133" t="n"/>
      <c r="Y2" s="133" t="n"/>
      <c r="Z2" s="133" t="n"/>
      <c r="AA2" s="133" t="n"/>
      <c r="AB2" s="133" t="n"/>
      <c r="AC2" s="133" t="n"/>
      <c r="AD2" s="134" t="n"/>
    </row>
    <row r="3" ht="25.5" customHeight="1" thickBot="1">
      <c r="A3" s="20" t="n">
        <v>1</v>
      </c>
      <c r="B3" s="91" t="n"/>
      <c r="C3" s="92" t="n"/>
      <c r="D3" s="115" t="n"/>
      <c r="E3" s="92" t="n"/>
      <c r="F3" s="92" t="n"/>
      <c r="G3" s="94" t="n"/>
      <c r="H3" s="55" t="n"/>
      <c r="I3" s="22" t="inlineStr">
        <is>
          <t>Техника</t>
        </is>
      </c>
      <c r="J3" s="70" t="inlineStr">
        <is>
          <t>План</t>
        </is>
      </c>
      <c r="K3" s="64" t="inlineStr">
        <is>
          <t>Факт</t>
        </is>
      </c>
      <c r="L3" s="23" t="inlineStr">
        <is>
          <t>Откл</t>
        </is>
      </c>
      <c r="M3" s="76" t="inlineStr">
        <is>
          <t>День</t>
        </is>
      </c>
      <c r="N3" s="76" t="inlineStr">
        <is>
          <t>Ночь</t>
        </is>
      </c>
      <c r="O3" s="24" t="inlineStr">
        <is>
          <t>ЦДН-1</t>
        </is>
      </c>
      <c r="P3" s="22" t="inlineStr">
        <is>
          <t>ЦДН-2</t>
        </is>
      </c>
      <c r="Q3" s="24" t="inlineStr">
        <is>
          <t>ЦДН-3</t>
        </is>
      </c>
      <c r="R3" s="22" t="inlineStr">
        <is>
          <t>ЦППН</t>
        </is>
      </c>
      <c r="S3" s="24" t="inlineStr">
        <is>
          <t>ЦППД</t>
        </is>
      </c>
      <c r="T3" s="22" t="inlineStr">
        <is>
          <t>ЭЦ</t>
        </is>
      </c>
      <c r="U3" s="25" t="inlineStr">
        <is>
          <t>ОКС</t>
        </is>
      </c>
      <c r="V3" s="22" t="inlineStr">
        <is>
          <t>РСЦ</t>
        </is>
      </c>
      <c r="W3" s="22" t="inlineStr">
        <is>
          <t>ЦПП</t>
        </is>
      </c>
      <c r="X3" s="24" t="inlineStr">
        <is>
          <t>ЦИТС</t>
        </is>
      </c>
      <c r="Y3" s="22" t="inlineStr">
        <is>
          <t>ПРЦЭО</t>
        </is>
      </c>
      <c r="Z3" s="24" t="inlineStr">
        <is>
          <t>ГЦ</t>
        </is>
      </c>
      <c r="AA3" s="22" t="inlineStr">
        <is>
          <t>БМТС</t>
        </is>
      </c>
      <c r="AB3" s="22" t="inlineStr">
        <is>
          <t>Бурение</t>
        </is>
      </c>
      <c r="AC3" s="24" t="inlineStr">
        <is>
          <t>ЦПКРС-1</t>
        </is>
      </c>
      <c r="AD3" s="22" t="inlineStr">
        <is>
          <t>ЦПКРС-2</t>
        </is>
      </c>
    </row>
    <row r="4" ht="25.5" customHeight="1">
      <c r="A4" s="26" t="n">
        <v>2</v>
      </c>
      <c r="B4" s="95" t="n"/>
      <c r="C4" s="117" t="n"/>
      <c r="D4" s="118" t="n"/>
      <c r="E4" s="117" t="n"/>
      <c r="F4" s="117" t="n"/>
      <c r="G4" s="98" t="n"/>
      <c r="H4" s="56" t="n"/>
      <c r="I4" s="28" t="n"/>
      <c r="J4" s="71" t="n"/>
      <c r="K4" s="65" t="n"/>
      <c r="L4" s="83" t="n"/>
      <c r="M4" s="77" t="n"/>
      <c r="N4" s="77" t="n"/>
      <c r="O4" s="29">
        <f>IF(SUMIFS('Исходные данные'!$I$2:$I$953,'Исходные данные'!$D$2:$D$953,O$3,'Исходные данные'!$F$2:$F$953,$H5&amp;"",'Исходные данные'!$L$2:$L$953,"УТТ")+SUMIFS('Исходные данные'!$J$2:$J$953,'Исходные данные'!$D$2:$D$953,O$3,'Исходные данные'!$F$2:$F$953,$H5&amp;"",'Исходные данные'!$L$2:$L$953,"УТТ")=0,"","утт-"&amp;(SUMIFS('Исходные данные'!$I$2:$I$953,'Исходные данные'!$D$2:$D$953,O$3,'Исходные данные'!$F$2:$F$953,$H5&amp;"",'Исходные данные'!$L$2:$L$953,"УТТ")+SUMIFS('Исходные данные'!$J$2:$J$953,'Исходные данные'!$D$2:$D$953,O$3,'Исходные данные'!$F$2:$F$953,$H5&amp;"",'Исходные данные'!$L$2:$L$953,"УТТ")))</f>
        <v/>
      </c>
      <c r="P4" s="30">
        <f>IF(SUMIFS('Исходные данные'!$I$2:$I$953,'Исходные данные'!$D$2:$D$953,P$3,'Исходные данные'!$F$2:$F$953,$H5&amp;"",'Исходные данные'!$L$2:$L$953,"УТТ")+SUMIFS('Исходные данные'!$J$2:$J$953,'Исходные данные'!$D$2:$D$953,P$3,'Исходные данные'!$F$2:$F$953,$H5&amp;"",'Исходные данные'!$L$2:$L$953,"УТТ")=0,"","утт-"&amp;(SUMIFS('Исходные данные'!$I$2:$I$953,'Исходные данные'!$D$2:$D$953,P$3,'Исходные данные'!$F$2:$F$953,$H5&amp;"",'Исходные данные'!$L$2:$L$953,"УТТ")+SUMIFS('Исходные данные'!$J$2:$J$953,'Исходные данные'!$D$2:$D$953,P$3,'Исходные данные'!$F$2:$F$953,$H5&amp;"",'Исходные данные'!$L$2:$L$953,"УТТ")))</f>
        <v/>
      </c>
      <c r="Q4" s="29">
        <f>IF(SUMIFS('Исходные данные'!$I$2:$I$953,'Исходные данные'!$D$2:$D$953,Q$3,'Исходные данные'!$F$2:$F$953,$H5&amp;"",'Исходные данные'!$L$2:$L$953,"УТТ")+SUMIFS('Исходные данные'!$J$2:$J$953,'Исходные данные'!$D$2:$D$953,Q$3,'Исходные данные'!$F$2:$F$953,$H5&amp;"",'Исходные данные'!$L$2:$L$953,"УТТ")=0,"","утт-"&amp;(SUMIFS('Исходные данные'!$I$2:$I$953,'Исходные данные'!$D$2:$D$953,Q$3,'Исходные данные'!$F$2:$F$953,$H5&amp;"",'Исходные данные'!$L$2:$L$953,"УТТ")+SUMIFS('Исходные данные'!$J$2:$J$953,'Исходные данные'!$D$2:$D$953,Q$3,'Исходные данные'!$F$2:$F$953,$H5&amp;"",'Исходные данные'!$L$2:$L$953,"УТТ")))</f>
        <v/>
      </c>
      <c r="R4" s="31">
        <f>IF(SUMIFS('Исходные данные'!$I$2:$I$953,'Исходные данные'!$D$2:$D$953,R$3,'Исходные данные'!$F$2:$F$953,$H5&amp;"",'Исходные данные'!$L$2:$L$953,"УТТ")+SUMIFS('Исходные данные'!$J$2:$J$953,'Исходные данные'!$D$2:$D$953,R$3,'Исходные данные'!$F$2:$F$953,$H5&amp;"",'Исходные данные'!$L$2:$L$953,"УТТ")=0,"","утт-"&amp;(SUMIFS('Исходные данные'!$I$2:$I$953,'Исходные данные'!$D$2:$D$953,R$3,'Исходные данные'!$F$2:$F$953,$H5&amp;"",'Исходные данные'!$L$2:$L$953,"УТТ")+SUMIFS('Исходные данные'!$J$2:$J$953,'Исходные данные'!$D$2:$D$953,R$3,'Исходные данные'!$F$2:$F$953,$H5&amp;"",'Исходные данные'!$L$2:$L$953,"УТТ")))</f>
        <v/>
      </c>
      <c r="S4" s="32">
        <f>IF(SUMIFS('Исходные данные'!$I$2:$I$953,'Исходные данные'!$D$2:$D$953,S$3,'Исходные данные'!$F$2:$F$953,$H5&amp;"",'Исходные данные'!$L$2:$L$953,"УТТ")+SUMIFS('Исходные данные'!$J$2:$J$953,'Исходные данные'!$D$2:$D$953,S$3,'Исходные данные'!$F$2:$F$953,$H5&amp;"",'Исходные данные'!$L$2:$L$953,"УТТ")=0,"","утт-"&amp;(SUMIFS('Исходные данные'!$I$2:$I$953,'Исходные данные'!$D$2:$D$953,S$3,'Исходные данные'!$F$2:$F$953,$H5&amp;"",'Исходные данные'!$L$2:$L$953,"УТТ")+SUMIFS('Исходные данные'!$J$2:$J$953,'Исходные данные'!$D$2:$D$953,S$3,'Исходные данные'!$F$2:$F$953,$H5&amp;"",'Исходные данные'!$L$2:$L$953,"УТТ")))</f>
        <v/>
      </c>
      <c r="T4" s="29">
        <f>IF(SUMIFS('Исходные данные'!$I$2:$I$953,'Исходные данные'!$D$2:$D$953,T$3,'Исходные данные'!$F$2:$F$953,$H5&amp;"",'Исходные данные'!$L$2:$L$953,"УТТ")+SUMIFS('Исходные данные'!$J$2:$J$953,'Исходные данные'!$D$2:$D$953,T$3,'Исходные данные'!$F$2:$F$953,$H5&amp;"",'Исходные данные'!$L$2:$L$953,"УТТ")=0,"","утт-"&amp;(SUMIFS('Исходные данные'!$I$2:$I$953,'Исходные данные'!$D$2:$D$953,T$3,'Исходные данные'!$F$2:$F$953,$H5&amp;"",'Исходные данные'!$L$2:$L$953,"УТТ")+SUMIFS('Исходные данные'!$J$2:$J$953,'Исходные данные'!$D$2:$D$953,T$3,'Исходные данные'!$F$2:$F$953,$H5&amp;"",'Исходные данные'!$L$2:$L$953,"УТТ")))</f>
        <v/>
      </c>
      <c r="U4" s="32">
        <f>IF(SUMIFS('Исходные данные'!$I$2:$I$953,'Исходные данные'!$D$2:$D$953,U$3,'Исходные данные'!$F$2:$F$953,$H5&amp;"",'Исходные данные'!$L$2:$L$953,"УТТ")+SUMIFS('Исходные данные'!$J$2:$J$953,'Исходные данные'!$D$2:$D$953,U$3,'Исходные данные'!$F$2:$F$953,$H5&amp;"",'Исходные данные'!$L$2:$L$953,"УТТ")=0,"","утт-"&amp;(SUMIFS('Исходные данные'!$I$2:$I$953,'Исходные данные'!$D$2:$D$953,U$3,'Исходные данные'!$F$2:$F$953,$H5&amp;"",'Исходные данные'!$L$2:$L$953,"УТТ")+SUMIFS('Исходные данные'!$J$2:$J$953,'Исходные данные'!$D$2:$D$953,U$3,'Исходные данные'!$F$2:$F$953,$H5&amp;"",'Исходные данные'!$L$2:$L$953,"УТТ")))</f>
        <v/>
      </c>
      <c r="V4" s="29">
        <f>IF(SUMIFS('Исходные данные'!$I$2:$I$953,'Исходные данные'!$D$2:$D$953,V$3,'Исходные данные'!$F$2:$F$953,$H5&amp;"",'Исходные данные'!$L$2:$L$953,"УТТ")+SUMIFS('Исходные данные'!$J$2:$J$953,'Исходные данные'!$D$2:$D$953,V$3,'Исходные данные'!$F$2:$F$953,$H5&amp;"",'Исходные данные'!$L$2:$L$953,"УТТ")=0,"","утт-"&amp;(SUMIFS('Исходные данные'!$I$2:$I$953,'Исходные данные'!$D$2:$D$953,V$3,'Исходные данные'!$F$2:$F$953,$H5&amp;"",'Исходные данные'!$L$2:$L$953,"УТТ")+SUMIFS('Исходные данные'!$J$2:$J$953,'Исходные данные'!$D$2:$D$953,V$3,'Исходные данные'!$F$2:$F$953,$H5&amp;"",'Исходные данные'!$L$2:$L$953,"УТТ")))</f>
        <v/>
      </c>
      <c r="W4" s="32">
        <f>IF(SUMIFS('Исходные данные'!$I$2:$I$953,'Исходные данные'!$D$2:$D$953,W$3,'Исходные данные'!$F$2:$F$953,$H5&amp;"",'Исходные данные'!$L$2:$L$953,"УТТ")+SUMIFS('Исходные данные'!$J$2:$J$953,'Исходные данные'!$D$2:$D$953,W$3,'Исходные данные'!$F$2:$F$953,$H5&amp;"",'Исходные данные'!$L$2:$L$953,"УТТ")=0,"","утт-"&amp;(SUMIFS('Исходные данные'!$I$2:$I$953,'Исходные данные'!$D$2:$D$953,W$3,'Исходные данные'!$F$2:$F$953,$H5&amp;"",'Исходные данные'!$L$2:$L$953,"УТТ")+SUMIFS('Исходные данные'!$J$2:$J$953,'Исходные данные'!$D$2:$D$953,W$3,'Исходные данные'!$F$2:$F$953,$H5&amp;"",'Исходные данные'!$L$2:$L$953,"УТТ")))</f>
        <v/>
      </c>
      <c r="X4" s="32">
        <f>IF(SUMIFS('Исходные данные'!$I$2:$I$953,'Исходные данные'!$D$2:$D$953,X$3,'Исходные данные'!$F$2:$F$953,$H5&amp;"",'Исходные данные'!$L$2:$L$953,"УТТ")+SUMIFS('Исходные данные'!$J$2:$J$953,'Исходные данные'!$D$2:$D$953,X$3,'Исходные данные'!$F$2:$F$953,$H5&amp;"",'Исходные данные'!$L$2:$L$953,"УТТ")=0,"","утт-"&amp;(SUMIFS('Исходные данные'!$I$2:$I$953,'Исходные данные'!$D$2:$D$953,X$3,'Исходные данные'!$F$2:$F$953,$H5&amp;"",'Исходные данные'!$L$2:$L$953,"УТТ")+SUMIFS('Исходные данные'!$J$2:$J$953,'Исходные данные'!$D$2:$D$953,X$3,'Исходные данные'!$F$2:$F$953,$H5&amp;"",'Исходные данные'!$L$2:$L$953,"УТТ")))</f>
        <v/>
      </c>
      <c r="Y4" s="33">
        <f>IF(SUMIFS('Исходные данные'!$I$2:$I$953,'Исходные данные'!$D$2:$D$953,Y$3,'Исходные данные'!$F$2:$F$953,$H5&amp;"",'Исходные данные'!$L$2:$L$953,"УТТ")+SUMIFS('Исходные данные'!$J$2:$J$953,'Исходные данные'!$D$2:$D$953,Y$3,'Исходные данные'!$F$2:$F$953,$H5&amp;"",'Исходные данные'!$L$2:$L$953,"УТТ")=0,"","утт-"&amp;(SUMIFS('Исходные данные'!$I$2:$I$953,'Исходные данные'!$D$2:$D$953,Y$3,'Исходные данные'!$F$2:$F$953,$H5&amp;"",'Исходные данные'!$L$2:$L$953,"УТТ")+SUMIFS('Исходные данные'!$J$2:$J$953,'Исходные данные'!$D$2:$D$953,Y$3,'Исходные данные'!$F$2:$F$953,$H5&amp;"",'Исходные данные'!$L$2:$L$953,"УТТ")))</f>
        <v/>
      </c>
      <c r="Z4" s="29">
        <f>IF(SUMIFS('Исходные данные'!$I$2:$I$953,'Исходные данные'!$D$2:$D$953,Z$3,'Исходные данные'!$F$2:$F$953,$H5&amp;"",'Исходные данные'!$L$2:$L$953,"УТТ")+SUMIFS('Исходные данные'!$J$2:$J$953,'Исходные данные'!$D$2:$D$953,Z$3,'Исходные данные'!$F$2:$F$953,$H5&amp;"",'Исходные данные'!$L$2:$L$953,"УТТ")=0,"","утт-"&amp;(SUMIFS('Исходные данные'!$I$2:$I$953,'Исходные данные'!$D$2:$D$953,Z$3,'Исходные данные'!$F$2:$F$953,$H5&amp;"",'Исходные данные'!$L$2:$L$953,"УТТ")+SUMIFS('Исходные данные'!$J$2:$J$953,'Исходные данные'!$D$2:$D$953,Z$3,'Исходные данные'!$F$2:$F$953,$H5&amp;"",'Исходные данные'!$L$2:$L$953,"УТТ")))</f>
        <v/>
      </c>
      <c r="AA4" s="30">
        <f>IF(SUMIFS('Исходные данные'!$I$2:$I$953,'Исходные данные'!$D$2:$D$953,AA$3,'Исходные данные'!$F$2:$F$953,$H5&amp;"",'Исходные данные'!$L$2:$L$953,"УТТ")+SUMIFS('Исходные данные'!$J$2:$J$953,'Исходные данные'!$D$2:$D$953,AA$3,'Исходные данные'!$F$2:$F$953,$H5&amp;"",'Исходные данные'!$L$2:$L$953,"УТТ")=0,"","утт-"&amp;(SUMIFS('Исходные данные'!$I$2:$I$953,'Исходные данные'!$D$2:$D$953,AA$3,'Исходные данные'!$F$2:$F$953,$H5&amp;"",'Исходные данные'!$L$2:$L$953,"УТТ")+SUMIFS('Исходные данные'!$J$2:$J$953,'Исходные данные'!$D$2:$D$953,AA$3,'Исходные данные'!$F$2:$F$953,$H5&amp;"",'Исходные данные'!$L$2:$L$953,"УТТ")))</f>
        <v/>
      </c>
      <c r="AB4" s="30" t="n"/>
      <c r="AC4" s="29">
        <f>IF(SUMIFS('Исходные данные'!$I$2:$I$953,'Исходные данные'!$D$2:$D$953,AC$3,'Исходные данные'!$F$2:$F$953,$H5&amp;"",'Исходные данные'!$L$2:$L$953,"УТТ")+SUMIFS('Исходные данные'!$J$2:$J$953,'Исходные данные'!$D$2:$D$953,AC$3,'Исходные данные'!$F$2:$F$953,$H5&amp;"",'Исходные данные'!$L$2:$L$953,"УТТ")=0,"","утт-"&amp;(SUMIFS('Исходные данные'!$I$2:$I$953,'Исходные данные'!$D$2:$D$953,AC$3,'Исходные данные'!$F$2:$F$953,$H5&amp;"",'Исходные данные'!$L$2:$L$953,"УТТ")+SUMIFS('Исходные данные'!$J$2:$J$953,'Исходные данные'!$D$2:$D$953,AC$3,'Исходные данные'!$F$2:$F$953,$H5&amp;"",'Исходные данные'!$L$2:$L$953,"УТТ")))</f>
        <v/>
      </c>
      <c r="AD4" s="30">
        <f>IF(SUMIFS('Исходные данные'!$I$2:$I$953,'Исходные данные'!$D$2:$D$953,AD$3,'Исходные данные'!$F$2:$F$953,$H5&amp;"",'Исходные данные'!$L$2:$L$953,"УТТ")+SUMIFS('Исходные данные'!$J$2:$J$953,'Исходные данные'!$D$2:$D$953,AD$3,'Исходные данные'!$F$2:$F$953,$H5&amp;"",'Исходные данные'!$L$2:$L$953,"УТТ")=0,"","утт-"&amp;(SUMIFS('Исходные данные'!$I$2:$I$953,'Исходные данные'!$D$2:$D$953,AD$3,'Исходные данные'!$F$2:$F$953,$H5&amp;"",'Исходные данные'!$L$2:$L$953,"УТТ")+SUMIFS('Исходные данные'!$J$2:$J$953,'Исходные данные'!$D$2:$D$953,AD$3,'Исходные данные'!$F$2:$F$953,$H5&amp;"",'Исходные данные'!$L$2:$L$953,"УТТ")))</f>
        <v/>
      </c>
    </row>
    <row r="5" ht="25.5" customHeight="1">
      <c r="A5" s="34" t="n">
        <v>3</v>
      </c>
      <c r="B5" s="95" t="n"/>
      <c r="C5" s="117" t="n"/>
      <c r="D5" s="118" t="n"/>
      <c r="E5" s="117" t="n"/>
      <c r="F5" s="117" t="n"/>
      <c r="G5" s="98" t="n"/>
      <c r="H5" s="56" t="n">
        <v>34</v>
      </c>
      <c r="I5" s="35" t="inlineStr">
        <is>
          <t>ППУ</t>
        </is>
      </c>
      <c r="J5" s="72">
        <f>IFERROR(INDEX('Выход ТС'!$C:$C,MATCH($H5&amp;"",'Выход ТС'!$A:$A,0)),"")</f>
        <v/>
      </c>
      <c r="K5" s="66">
        <f>IFERROR(INDEX('Выход ТС'!$D:$D,MATCH($H5&amp;"",'Выход ТС'!$A:$A,0)),"")</f>
        <v/>
      </c>
      <c r="L5" s="84">
        <f>IFERROR(INDEX('Выход ТС'!$E:$E,MATCH($H5&amp;"",'Выход ТС'!$A:$A,0)),"")</f>
        <v/>
      </c>
      <c r="M5" s="78">
        <f>IFERROR(IF(INDEX('Выход ТС'!$F:$F,MATCH($H5&amp;"",'Выход ТС'!$A:$A,0))=0,"",INDEX('Выход ТС'!$F:$F,MATCH($H5&amp;"",'Выход ТС'!$A:$A,0))),"")</f>
        <v/>
      </c>
      <c r="N5" s="78">
        <f>IFERROR(IF(INDEX('Выход ТС'!$G:$G,MATCH($H5&amp;"",'Выход ТС'!$A:$A,0))=0,"",INDEX('Выход ТС'!$G:$G,MATCH($H5&amp;"",'Выход ТС'!$A:$A,0))),"")</f>
        <v/>
      </c>
      <c r="O5" s="36">
        <f>IF(SUMIFS('Исходные данные'!$I$2:$I$953,'Исходные данные'!$D$2:$D$953,O$3,'Исходные данные'!$F$2:$F$953,$H5&amp;"")+SUMIFS('Исходные данные'!$J$2:$J$953,'Исходные данные'!$D$2:$D$953,O$3,'Исходные данные'!$F$2:$F$953,$H5&amp;"")=0,"",IF(SUMIFS('Исходные данные'!$J$2:$J$953,'Исходные данные'!$D$2:$D$953,O$3,'Исходные данные'!$F$2:$F$953,$H5&amp;"")=0,SUMIFS('Исходные данные'!$I$2:$I$953,'Исходные данные'!$D$2:$D$953,O$3,'Исходные данные'!$F$2:$F$953,$H5&amp;""),IF(SUMIFS('Исходные данные'!$I$2:$I$953,'Исходные данные'!$D$2:$D$953,O$3,'Исходные данные'!$F$2:$F$953,$H5&amp;"")=0,"0+"&amp;SUMIFS('Исходные данные'!$J$2:$J$953,'Исходные данные'!$D$2:$D$953,O$3,'Исходные данные'!$F$2:$F$953,$H5&amp;"")&amp;"="&amp;SUMIFS('Исходные данные'!$J$2:$J$953,'Исходные данные'!$D$2:$D$953,O$3,'Исходные данные'!$F$2:$F$953,$H5&amp;""),SUMIFS('Исходные данные'!$I$2:$I$953,'Исходные данные'!$D$2:$D$953,O$3,'Исходные данные'!$F$2:$F$953,$H5&amp;"")&amp;"+"&amp;SUMIFS('Исходные данные'!$J$2:$J$953,'Исходные данные'!$D$2:$D$953,O$3,'Исходные данные'!$F$2:$F$953,$H5&amp;"")&amp;"="&amp;(SUMIFS('Исходные данные'!$I$2:$I$953,'Исходные данные'!$D$2:$D$953,O$3,'Исходные данные'!$F$2:$F$953,$H5&amp;"")+SUMIFS('Исходные данные'!$J$2:$J$953,'Исходные данные'!$D$2:$D$953,O$3,'Исходные данные'!$F$2:$F$953,$H5&amp;"")))))</f>
        <v/>
      </c>
      <c r="P5" s="37">
        <f>IF(SUMIFS('Исходные данные'!$I$2:$I$953,'Исходные данные'!$D$2:$D$953,P$3,'Исходные данные'!$F$2:$F$953,$H5&amp;"")+SUMIFS('Исходные данные'!$J$2:$J$953,'Исходные данные'!$D$2:$D$953,P$3,'Исходные данные'!$F$2:$F$953,$H5&amp;"")=0,"",IF(SUMIFS('Исходные данные'!$J$2:$J$953,'Исходные данные'!$D$2:$D$953,P$3,'Исходные данные'!$F$2:$F$953,$H5&amp;"")=0,SUMIFS('Исходные данные'!$I$2:$I$953,'Исходные данные'!$D$2:$D$953,P$3,'Исходные данные'!$F$2:$F$953,$H5&amp;""),IF(SUMIFS('Исходные данные'!$I$2:$I$953,'Исходные данные'!$D$2:$D$953,P$3,'Исходные данные'!$F$2:$F$953,$H5&amp;"")=0,"0+"&amp;SUMIFS('Исходные данные'!$J$2:$J$953,'Исходные данные'!$D$2:$D$953,P$3,'Исходные данные'!$F$2:$F$953,$H5&amp;"")&amp;"="&amp;SUMIFS('Исходные данные'!$J$2:$J$953,'Исходные данные'!$D$2:$D$953,P$3,'Исходные данные'!$F$2:$F$953,$H5&amp;""),SUMIFS('Исходные данные'!$I$2:$I$953,'Исходные данные'!$D$2:$D$953,P$3,'Исходные данные'!$F$2:$F$953,$H5&amp;"")&amp;"+"&amp;SUMIFS('Исходные данные'!$J$2:$J$953,'Исходные данные'!$D$2:$D$953,P$3,'Исходные данные'!$F$2:$F$953,$H5&amp;"")&amp;"="&amp;(SUMIFS('Исходные данные'!$I$2:$I$953,'Исходные данные'!$D$2:$D$953,P$3,'Исходные данные'!$F$2:$F$953,$H5&amp;"")+SUMIFS('Исходные данные'!$J$2:$J$953,'Исходные данные'!$D$2:$D$953,P$3,'Исходные данные'!$F$2:$F$953,$H5&amp;"")))))</f>
        <v/>
      </c>
      <c r="Q5" s="36">
        <f>IF(SUMIFS('Исходные данные'!$I$2:$I$953,'Исходные данные'!$D$2:$D$953,Q$3,'Исходные данные'!$F$2:$F$953,$H5&amp;"")+SUMIFS('Исходные данные'!$J$2:$J$953,'Исходные данные'!$D$2:$D$953,Q$3,'Исходные данные'!$F$2:$F$953,$H5&amp;"")=0,"",IF(SUMIFS('Исходные данные'!$J$2:$J$953,'Исходные данные'!$D$2:$D$953,Q$3,'Исходные данные'!$F$2:$F$953,$H5&amp;"")=0,SUMIFS('Исходные данные'!$I$2:$I$953,'Исходные данные'!$D$2:$D$953,Q$3,'Исходные данные'!$F$2:$F$953,$H5&amp;""),IF(SUMIFS('Исходные данные'!$I$2:$I$953,'Исходные данные'!$D$2:$D$953,Q$3,'Исходные данные'!$F$2:$F$953,$H5&amp;"")=0,"0+"&amp;SUMIFS('Исходные данные'!$J$2:$J$953,'Исходные данные'!$D$2:$D$953,Q$3,'Исходные данные'!$F$2:$F$953,$H5&amp;"")&amp;"="&amp;SUMIFS('Исходные данные'!$J$2:$J$953,'Исходные данные'!$D$2:$D$953,Q$3,'Исходные данные'!$F$2:$F$953,$H5&amp;""),SUMIFS('Исходные данные'!$I$2:$I$953,'Исходные данные'!$D$2:$D$953,Q$3,'Исходные данные'!$F$2:$F$953,$H5&amp;"")&amp;"+"&amp;SUMIFS('Исходные данные'!$J$2:$J$953,'Исходные данные'!$D$2:$D$953,Q$3,'Исходные данные'!$F$2:$F$953,$H5&amp;"")&amp;"="&amp;(SUMIFS('Исходные данные'!$I$2:$I$953,'Исходные данные'!$D$2:$D$953,Q$3,'Исходные данные'!$F$2:$F$953,$H5&amp;"")+SUMIFS('Исходные данные'!$J$2:$J$953,'Исходные данные'!$D$2:$D$953,Q$3,'Исходные данные'!$F$2:$F$953,$H5&amp;"")))))</f>
        <v/>
      </c>
      <c r="R5" s="38">
        <f>IF(SUMIFS('Исходные данные'!$I$2:$I$953,'Исходные данные'!$D$2:$D$953,R$3,'Исходные данные'!$F$2:$F$953,$H5&amp;"")+SUMIFS('Исходные данные'!$J$2:$J$953,'Исходные данные'!$D$2:$D$953,R$3,'Исходные данные'!$F$2:$F$953,$H5&amp;"")=0,"",IF(SUMIFS('Исходные данные'!$J$2:$J$953,'Исходные данные'!$D$2:$D$953,R$3,'Исходные данные'!$F$2:$F$953,$H5&amp;"")=0,SUMIFS('Исходные данные'!$I$2:$I$953,'Исходные данные'!$D$2:$D$953,R$3,'Исходные данные'!$F$2:$F$953,$H5&amp;""),IF(SUMIFS('Исходные данные'!$I$2:$I$953,'Исходные данные'!$D$2:$D$953,R$3,'Исходные данные'!$F$2:$F$953,$H5&amp;"")=0,"0+"&amp;SUMIFS('Исходные данные'!$J$2:$J$953,'Исходные данные'!$D$2:$D$953,R$3,'Исходные данные'!$F$2:$F$953,$H5&amp;"")&amp;"="&amp;SUMIFS('Исходные данные'!$J$2:$J$953,'Исходные данные'!$D$2:$D$953,R$3,'Исходные данные'!$F$2:$F$953,$H5&amp;""),SUMIFS('Исходные данные'!$I$2:$I$953,'Исходные данные'!$D$2:$D$953,R$3,'Исходные данные'!$F$2:$F$953,$H5&amp;"")&amp;"+"&amp;SUMIFS('Исходные данные'!$J$2:$J$953,'Исходные данные'!$D$2:$D$953,R$3,'Исходные данные'!$F$2:$F$953,$H5&amp;"")&amp;"="&amp;(SUMIFS('Исходные данные'!$I$2:$I$953,'Исходные данные'!$D$2:$D$953,R$3,'Исходные данные'!$F$2:$F$953,$H5&amp;"")+SUMIFS('Исходные данные'!$J$2:$J$953,'Исходные данные'!$D$2:$D$953,R$3,'Исходные данные'!$F$2:$F$953,$H5&amp;"")))))</f>
        <v/>
      </c>
      <c r="S5" s="37">
        <f>IF(SUMIFS('Исходные данные'!$I$2:$I$953,'Исходные данные'!$D$2:$D$953,S$3,'Исходные данные'!$F$2:$F$953,$H5&amp;"")+SUMIFS('Исходные данные'!$J$2:$J$953,'Исходные данные'!$D$2:$D$953,S$3,'Исходные данные'!$F$2:$F$953,$H5&amp;"")=0,"",IF(SUMIFS('Исходные данные'!$J$2:$J$953,'Исходные данные'!$D$2:$D$953,S$3,'Исходные данные'!$F$2:$F$953,$H5&amp;"")=0,SUMIFS('Исходные данные'!$I$2:$I$953,'Исходные данные'!$D$2:$D$953,S$3,'Исходные данные'!$F$2:$F$953,$H5&amp;""),IF(SUMIFS('Исходные данные'!$I$2:$I$953,'Исходные данные'!$D$2:$D$953,S$3,'Исходные данные'!$F$2:$F$953,$H5&amp;"")=0,"0+"&amp;SUMIFS('Исходные данные'!$J$2:$J$953,'Исходные данные'!$D$2:$D$953,S$3,'Исходные данные'!$F$2:$F$953,$H5&amp;"")&amp;"="&amp;SUMIFS('Исходные данные'!$J$2:$J$953,'Исходные данные'!$D$2:$D$953,S$3,'Исходные данные'!$F$2:$F$953,$H5&amp;""),SUMIFS('Исходные данные'!$I$2:$I$953,'Исходные данные'!$D$2:$D$953,S$3,'Исходные данные'!$F$2:$F$953,$H5&amp;"")&amp;"+"&amp;SUMIFS('Исходные данные'!$J$2:$J$953,'Исходные данные'!$D$2:$D$953,S$3,'Исходные данные'!$F$2:$F$953,$H5&amp;"")&amp;"="&amp;(SUMIFS('Исходные данные'!$I$2:$I$953,'Исходные данные'!$D$2:$D$953,S$3,'Исходные данные'!$F$2:$F$953,$H5&amp;"")+SUMIFS('Исходные данные'!$J$2:$J$953,'Исходные данные'!$D$2:$D$953,S$3,'Исходные данные'!$F$2:$F$953,$H5&amp;"")))))</f>
        <v/>
      </c>
      <c r="T5" s="36">
        <f>IF(SUMIFS('Исходные данные'!$I$2:$I$953,'Исходные данные'!$D$2:$D$953,T$3,'Исходные данные'!$F$2:$F$953,$H5&amp;"")+SUMIFS('Исходные данные'!$J$2:$J$953,'Исходные данные'!$D$2:$D$953,T$3,'Исходные данные'!$F$2:$F$953,$H5&amp;"")=0,"",IF(SUMIFS('Исходные данные'!$J$2:$J$953,'Исходные данные'!$D$2:$D$953,T$3,'Исходные данные'!$F$2:$F$953,$H5&amp;"")=0,SUMIFS('Исходные данные'!$I$2:$I$953,'Исходные данные'!$D$2:$D$953,T$3,'Исходные данные'!$F$2:$F$953,$H5&amp;""),IF(SUMIFS('Исходные данные'!$I$2:$I$953,'Исходные данные'!$D$2:$D$953,T$3,'Исходные данные'!$F$2:$F$953,$H5&amp;"")=0,"0+"&amp;SUMIFS('Исходные данные'!$J$2:$J$953,'Исходные данные'!$D$2:$D$953,T$3,'Исходные данные'!$F$2:$F$953,$H5&amp;"")&amp;"="&amp;SUMIFS('Исходные данные'!$J$2:$J$953,'Исходные данные'!$D$2:$D$953,T$3,'Исходные данные'!$F$2:$F$953,$H5&amp;""),SUMIFS('Исходные данные'!$I$2:$I$953,'Исходные данные'!$D$2:$D$953,T$3,'Исходные данные'!$F$2:$F$953,$H5&amp;"")&amp;"+"&amp;SUMIFS('Исходные данные'!$J$2:$J$953,'Исходные данные'!$D$2:$D$953,T$3,'Исходные данные'!$F$2:$F$953,$H5&amp;"")&amp;"="&amp;(SUMIFS('Исходные данные'!$I$2:$I$953,'Исходные данные'!$D$2:$D$953,T$3,'Исходные данные'!$F$2:$F$953,$H5&amp;"")+SUMIFS('Исходные данные'!$J$2:$J$953,'Исходные данные'!$D$2:$D$953,T$3,'Исходные данные'!$F$2:$F$953,$H5&amp;"")))))</f>
        <v/>
      </c>
      <c r="U5" s="37">
        <f>IF(SUMIFS('Исходные данные'!$I$2:$I$953,'Исходные данные'!$D$2:$D$953,U$3,'Исходные данные'!$F$2:$F$953,$H5&amp;"")+SUMIFS('Исходные данные'!$J$2:$J$953,'Исходные данные'!$D$2:$D$953,U$3,'Исходные данные'!$F$2:$F$953,$H5&amp;"")=0,"",IF(SUMIFS('Исходные данные'!$J$2:$J$953,'Исходные данные'!$D$2:$D$953,U$3,'Исходные данные'!$F$2:$F$953,$H5&amp;"")=0,SUMIFS('Исходные данные'!$I$2:$I$953,'Исходные данные'!$D$2:$D$953,U$3,'Исходные данные'!$F$2:$F$953,$H5&amp;""),IF(SUMIFS('Исходные данные'!$I$2:$I$953,'Исходные данные'!$D$2:$D$953,U$3,'Исходные данные'!$F$2:$F$953,$H5&amp;"")=0,"0+"&amp;SUMIFS('Исходные данные'!$J$2:$J$953,'Исходные данные'!$D$2:$D$953,U$3,'Исходные данные'!$F$2:$F$953,$H5&amp;"")&amp;"="&amp;SUMIFS('Исходные данные'!$J$2:$J$953,'Исходные данные'!$D$2:$D$953,U$3,'Исходные данные'!$F$2:$F$953,$H5&amp;""),SUMIFS('Исходные данные'!$I$2:$I$953,'Исходные данные'!$D$2:$D$953,U$3,'Исходные данные'!$F$2:$F$953,$H5&amp;"")&amp;"+"&amp;SUMIFS('Исходные данные'!$J$2:$J$953,'Исходные данные'!$D$2:$D$953,U$3,'Исходные данные'!$F$2:$F$953,$H5&amp;"")&amp;"="&amp;(SUMIFS('Исходные данные'!$I$2:$I$953,'Исходные данные'!$D$2:$D$953,U$3,'Исходные данные'!$F$2:$F$953,$H5&amp;"")+SUMIFS('Исходные данные'!$J$2:$J$953,'Исходные данные'!$D$2:$D$953,U$3,'Исходные данные'!$F$2:$F$953,$H5&amp;"")))))</f>
        <v/>
      </c>
      <c r="V5" s="36">
        <f>IF(SUMIFS('Исходные данные'!$I$2:$I$953,'Исходные данные'!$D$2:$D$953,V$3,'Исходные данные'!$F$2:$F$953,$H5&amp;"")+SUMIFS('Исходные данные'!$J$2:$J$953,'Исходные данные'!$D$2:$D$953,V$3,'Исходные данные'!$F$2:$F$953,$H5&amp;"")=0,"",IF(SUMIFS('Исходные данные'!$J$2:$J$953,'Исходные данные'!$D$2:$D$953,V$3,'Исходные данные'!$F$2:$F$953,$H5&amp;"")=0,SUMIFS('Исходные данные'!$I$2:$I$953,'Исходные данные'!$D$2:$D$953,V$3,'Исходные данные'!$F$2:$F$953,$H5&amp;""),IF(SUMIFS('Исходные данные'!$I$2:$I$953,'Исходные данные'!$D$2:$D$953,V$3,'Исходные данные'!$F$2:$F$953,$H5&amp;"")=0,"0+"&amp;SUMIFS('Исходные данные'!$J$2:$J$953,'Исходные данные'!$D$2:$D$953,V$3,'Исходные данные'!$F$2:$F$953,$H5&amp;"")&amp;"="&amp;SUMIFS('Исходные данные'!$J$2:$J$953,'Исходные данные'!$D$2:$D$953,V$3,'Исходные данные'!$F$2:$F$953,$H5&amp;""),SUMIFS('Исходные данные'!$I$2:$I$953,'Исходные данные'!$D$2:$D$953,V$3,'Исходные данные'!$F$2:$F$953,$H5&amp;"")&amp;"+"&amp;SUMIFS('Исходные данные'!$J$2:$J$953,'Исходные данные'!$D$2:$D$953,V$3,'Исходные данные'!$F$2:$F$953,$H5&amp;"")&amp;"="&amp;(SUMIFS('Исходные данные'!$I$2:$I$953,'Исходные данные'!$D$2:$D$953,V$3,'Исходные данные'!$F$2:$F$953,$H5&amp;"")+SUMIFS('Исходные данные'!$J$2:$J$953,'Исходные данные'!$D$2:$D$953,V$3,'Исходные данные'!$F$2:$F$953,$H5&amp;"")))))</f>
        <v/>
      </c>
      <c r="W5" s="37">
        <f>IF(SUMIFS('Исходные данные'!$I$2:$I$953,'Исходные данные'!$D$2:$D$953,W$3,'Исходные данные'!$F$2:$F$953,$H5&amp;"")+SUMIFS('Исходные данные'!$J$2:$J$953,'Исходные данные'!$D$2:$D$953,W$3,'Исходные данные'!$F$2:$F$953,$H5&amp;"")=0,"",IF(SUMIFS('Исходные данные'!$J$2:$J$953,'Исходные данные'!$D$2:$D$953,W$3,'Исходные данные'!$F$2:$F$953,$H5&amp;"")=0,SUMIFS('Исходные данные'!$I$2:$I$953,'Исходные данные'!$D$2:$D$953,W$3,'Исходные данные'!$F$2:$F$953,$H5&amp;""),IF(SUMIFS('Исходные данные'!$I$2:$I$953,'Исходные данные'!$D$2:$D$953,W$3,'Исходные данные'!$F$2:$F$953,$H5&amp;"")=0,"0+"&amp;SUMIFS('Исходные данные'!$J$2:$J$953,'Исходные данные'!$D$2:$D$953,W$3,'Исходные данные'!$F$2:$F$953,$H5&amp;"")&amp;"="&amp;SUMIFS('Исходные данные'!$J$2:$J$953,'Исходные данные'!$D$2:$D$953,W$3,'Исходные данные'!$F$2:$F$953,$H5&amp;""),SUMIFS('Исходные данные'!$I$2:$I$953,'Исходные данные'!$D$2:$D$953,W$3,'Исходные данные'!$F$2:$F$953,$H5&amp;"")&amp;"+"&amp;SUMIFS('Исходные данные'!$J$2:$J$953,'Исходные данные'!$D$2:$D$953,W$3,'Исходные данные'!$F$2:$F$953,$H5&amp;"")&amp;"="&amp;(SUMIFS('Исходные данные'!$I$2:$I$953,'Исходные данные'!$D$2:$D$953,W$3,'Исходные данные'!$F$2:$F$953,$H5&amp;"")+SUMIFS('Исходные данные'!$J$2:$J$953,'Исходные данные'!$D$2:$D$953,W$3,'Исходные данные'!$F$2:$F$953,$H5&amp;"")))))</f>
        <v/>
      </c>
      <c r="X5" s="37">
        <f>IF(SUMIFS('Исходные данные'!$I$2:$I$953,'Исходные данные'!$D$2:$D$953,X$3,'Исходные данные'!$F$2:$F$953,$H5&amp;"")+SUMIFS('Исходные данные'!$J$2:$J$953,'Исходные данные'!$D$2:$D$953,X$3,'Исходные данные'!$F$2:$F$953,$H5&amp;"")=0,"",IF(SUMIFS('Исходные данные'!$J$2:$J$953,'Исходные данные'!$D$2:$D$953,X$3,'Исходные данные'!$F$2:$F$953,$H5&amp;"")=0,SUMIFS('Исходные данные'!$I$2:$I$953,'Исходные данные'!$D$2:$D$953,X$3,'Исходные данные'!$F$2:$F$953,$H5&amp;""),IF(SUMIFS('Исходные данные'!$I$2:$I$953,'Исходные данные'!$D$2:$D$953,X$3,'Исходные данные'!$F$2:$F$953,$H5&amp;"")=0,"0+"&amp;SUMIFS('Исходные данные'!$J$2:$J$953,'Исходные данные'!$D$2:$D$953,X$3,'Исходные данные'!$F$2:$F$953,$H5&amp;"")&amp;"="&amp;SUMIFS('Исходные данные'!$J$2:$J$953,'Исходные данные'!$D$2:$D$953,X$3,'Исходные данные'!$F$2:$F$953,$H5&amp;""),SUMIFS('Исходные данные'!$I$2:$I$953,'Исходные данные'!$D$2:$D$953,X$3,'Исходные данные'!$F$2:$F$953,$H5&amp;"")&amp;"+"&amp;SUMIFS('Исходные данные'!$J$2:$J$953,'Исходные данные'!$D$2:$D$953,X$3,'Исходные данные'!$F$2:$F$953,$H5&amp;"")&amp;"="&amp;(SUMIFS('Исходные данные'!$I$2:$I$953,'Исходные данные'!$D$2:$D$953,X$3,'Исходные данные'!$F$2:$F$953,$H5&amp;"")+SUMIFS('Исходные данные'!$J$2:$J$953,'Исходные данные'!$D$2:$D$953,X$3,'Исходные данные'!$F$2:$F$953,$H5&amp;"")))))</f>
        <v/>
      </c>
      <c r="Y5" s="39">
        <f>IF(SUMIFS('Исходные данные'!$I$2:$I$953,'Исходные данные'!$D$2:$D$953,Y$3,'Исходные данные'!$F$2:$F$953,$H5&amp;"")+SUMIFS('Исходные данные'!$J$2:$J$953,'Исходные данные'!$D$2:$D$953,Y$3,'Исходные данные'!$F$2:$F$953,$H5&amp;"")=0,"",IF(SUMIFS('Исходные данные'!$J$2:$J$953,'Исходные данные'!$D$2:$D$953,Y$3,'Исходные данные'!$F$2:$F$953,$H5&amp;"")=0,SUMIFS('Исходные данные'!$I$2:$I$953,'Исходные данные'!$D$2:$D$953,Y$3,'Исходные данные'!$F$2:$F$953,$H5&amp;""),IF(SUMIFS('Исходные данные'!$I$2:$I$953,'Исходные данные'!$D$2:$D$953,Y$3,'Исходные данные'!$F$2:$F$953,$H5&amp;"")=0,"0+"&amp;SUMIFS('Исходные данные'!$J$2:$J$953,'Исходные данные'!$D$2:$D$953,Y$3,'Исходные данные'!$F$2:$F$953,$H5&amp;"")&amp;"="&amp;SUMIFS('Исходные данные'!$J$2:$J$953,'Исходные данные'!$D$2:$D$953,Y$3,'Исходные данные'!$F$2:$F$953,$H5&amp;""),SUMIFS('Исходные данные'!$I$2:$I$953,'Исходные данные'!$D$2:$D$953,Y$3,'Исходные данные'!$F$2:$F$953,$H5&amp;"")&amp;"+"&amp;SUMIFS('Исходные данные'!$J$2:$J$953,'Исходные данные'!$D$2:$D$953,Y$3,'Исходные данные'!$F$2:$F$953,$H5&amp;"")&amp;"="&amp;(SUMIFS('Исходные данные'!$I$2:$I$953,'Исходные данные'!$D$2:$D$953,Y$3,'Исходные данные'!$F$2:$F$953,$H5&amp;"")+SUMIFS('Исходные данные'!$J$2:$J$953,'Исходные данные'!$D$2:$D$953,Y$3,'Исходные данные'!$F$2:$F$953,$H5&amp;"")))))</f>
        <v/>
      </c>
      <c r="Z5" s="36">
        <f>IF(SUMIFS('Исходные данные'!$I$2:$I$953,'Исходные данные'!$D$2:$D$953,Z$3,'Исходные данные'!$F$2:$F$953,$H5&amp;"")+SUMIFS('Исходные данные'!$J$2:$J$953,'Исходные данные'!$D$2:$D$953,Z$3,'Исходные данные'!$F$2:$F$953,$H5&amp;"")=0,"",IF(SUMIFS('Исходные данные'!$J$2:$J$953,'Исходные данные'!$D$2:$D$953,Z$3,'Исходные данные'!$F$2:$F$953,$H5&amp;"")=0,SUMIFS('Исходные данные'!$I$2:$I$953,'Исходные данные'!$D$2:$D$953,Z$3,'Исходные данные'!$F$2:$F$953,$H5&amp;""),IF(SUMIFS('Исходные данные'!$I$2:$I$953,'Исходные данные'!$D$2:$D$953,Z$3,'Исходные данные'!$F$2:$F$953,$H5&amp;"")=0,"0+"&amp;SUMIFS('Исходные данные'!$J$2:$J$953,'Исходные данные'!$D$2:$D$953,Z$3,'Исходные данные'!$F$2:$F$953,$H5&amp;"")&amp;"="&amp;SUMIFS('Исходные данные'!$J$2:$J$953,'Исходные данные'!$D$2:$D$953,Z$3,'Исходные данные'!$F$2:$F$953,$H5&amp;""),SUMIFS('Исходные данные'!$I$2:$I$953,'Исходные данные'!$D$2:$D$953,Z$3,'Исходные данные'!$F$2:$F$953,$H5&amp;"")&amp;"+"&amp;SUMIFS('Исходные данные'!$J$2:$J$953,'Исходные данные'!$D$2:$D$953,Z$3,'Исходные данные'!$F$2:$F$953,$H5&amp;"")&amp;"="&amp;(SUMIFS('Исходные данные'!$I$2:$I$953,'Исходные данные'!$D$2:$D$953,Z$3,'Исходные данные'!$F$2:$F$953,$H5&amp;"")+SUMIFS('Исходные данные'!$J$2:$J$953,'Исходные данные'!$D$2:$D$953,Z$3,'Исходные данные'!$F$2:$F$953,$H5&amp;"")))))</f>
        <v/>
      </c>
      <c r="AA5" s="37">
        <f>IF(SUMIFS('Исходные данные'!$I$2:$I$953,'Исходные данные'!$D$2:$D$953,AA$3,'Исходные данные'!$F$2:$F$953,$H5&amp;"")+SUMIFS('Исходные данные'!$J$2:$J$953,'Исходные данные'!$D$2:$D$953,AA$3,'Исходные данные'!$F$2:$F$953,$H5&amp;"")=0,"",IF(SUMIFS('Исходные данные'!$J$2:$J$953,'Исходные данные'!$D$2:$D$953,AA$3,'Исходные данные'!$F$2:$F$953,$H5&amp;"")=0,SUMIFS('Исходные данные'!$I$2:$I$953,'Исходные данные'!$D$2:$D$953,AA$3,'Исходные данные'!$F$2:$F$953,$H5&amp;""),IF(SUMIFS('Исходные данные'!$I$2:$I$953,'Исходные данные'!$D$2:$D$953,AA$3,'Исходные данные'!$F$2:$F$953,$H5&amp;"")=0,"0+"&amp;SUMIFS('Исходные данные'!$J$2:$J$953,'Исходные данные'!$D$2:$D$953,AA$3,'Исходные данные'!$F$2:$F$953,$H5&amp;"")&amp;"="&amp;SUMIFS('Исходные данные'!$J$2:$J$953,'Исходные данные'!$D$2:$D$953,AA$3,'Исходные данные'!$F$2:$F$953,$H5&amp;""),SUMIFS('Исходные данные'!$I$2:$I$953,'Исходные данные'!$D$2:$D$953,AA$3,'Исходные данные'!$F$2:$F$953,$H5&amp;"")&amp;"+"&amp;SUMIFS('Исходные данные'!$J$2:$J$953,'Исходные данные'!$D$2:$D$953,AA$3,'Исходные данные'!$F$2:$F$953,$H5&amp;"")&amp;"="&amp;(SUMIFS('Исходные данные'!$I$2:$I$953,'Исходные данные'!$D$2:$D$953,AA$3,'Исходные данные'!$F$2:$F$953,$H5&amp;"")+SUMIFS('Исходные данные'!$J$2:$J$953,'Исходные данные'!$D$2:$D$953,AA$3,'Исходные данные'!$F$2:$F$953,$H5&amp;"")))))</f>
        <v/>
      </c>
      <c r="AB5" s="37" t="n"/>
      <c r="AC5" s="39">
        <f>IF(SUMIFS('Исходные данные'!$I$2:$I$953,'Исходные данные'!$D$2:$D$953,AC$3,'Исходные данные'!$F$2:$F$953,$H5&amp;"")+SUMIFS('Исходные данные'!$J$2:$J$953,'Исходные данные'!$D$2:$D$953,AC$3,'Исходные данные'!$F$2:$F$953,$H5&amp;"")=0,"",IF(SUMIFS('Исходные данные'!$J$2:$J$953,'Исходные данные'!$D$2:$D$953,AC$3,'Исходные данные'!$F$2:$F$953,$H5&amp;"")=0,SUMIFS('Исходные данные'!$I$2:$I$953,'Исходные данные'!$D$2:$D$953,AC$3,'Исходные данные'!$F$2:$F$953,$H5&amp;""),IF(SUMIFS('Исходные данные'!$I$2:$I$953,'Исходные данные'!$D$2:$D$953,AC$3,'Исходные данные'!$F$2:$F$953,$H5&amp;"")=0,"0+"&amp;SUMIFS('Исходные данные'!$J$2:$J$953,'Исходные данные'!$D$2:$D$953,AC$3,'Исходные данные'!$F$2:$F$953,$H5&amp;"")&amp;"="&amp;SUMIFS('Исходные данные'!$J$2:$J$953,'Исходные данные'!$D$2:$D$953,AC$3,'Исходные данные'!$F$2:$F$953,$H5&amp;""),SUMIFS('Исходные данные'!$I$2:$I$953,'Исходные данные'!$D$2:$D$953,AC$3,'Исходные данные'!$F$2:$F$953,$H5&amp;"")&amp;"+"&amp;SUMIFS('Исходные данные'!$J$2:$J$953,'Исходные данные'!$D$2:$D$953,AC$3,'Исходные данные'!$F$2:$F$953,$H5&amp;"")&amp;"="&amp;(SUMIFS('Исходные данные'!$I$2:$I$953,'Исходные данные'!$D$2:$D$953,AC$3,'Исходные данные'!$F$2:$F$953,$H5&amp;"")+SUMIFS('Исходные данные'!$J$2:$J$953,'Исходные данные'!$D$2:$D$953,AC$3,'Исходные данные'!$F$2:$F$953,$H5&amp;"")))))</f>
        <v/>
      </c>
      <c r="AD5" s="37">
        <f>IF(SUMIFS('Исходные данные'!$I$2:$I$953,'Исходные данные'!$D$2:$D$953,AD$3,'Исходные данные'!$F$2:$F$953,$H5&amp;"")+SUMIFS('Исходные данные'!$J$2:$J$953,'Исходные данные'!$D$2:$D$953,AD$3,'Исходные данные'!$F$2:$F$953,$H5&amp;"")=0,"",IF(SUMIFS('Исходные данные'!$J$2:$J$953,'Исходные данные'!$D$2:$D$953,AD$3,'Исходные данные'!$F$2:$F$953,$H5&amp;"")=0,SUMIFS('Исходные данные'!$I$2:$I$953,'Исходные данные'!$D$2:$D$953,AD$3,'Исходные данные'!$F$2:$F$953,$H5&amp;""),IF(SUMIFS('Исходные данные'!$I$2:$I$953,'Исходные данные'!$D$2:$D$953,AD$3,'Исходные данные'!$F$2:$F$953,$H5&amp;"")=0,"0+"&amp;SUMIFS('Исходные данные'!$J$2:$J$953,'Исходные данные'!$D$2:$D$953,AD$3,'Исходные данные'!$F$2:$F$953,$H5&amp;"")&amp;"="&amp;SUMIFS('Исходные данные'!$J$2:$J$953,'Исходные данные'!$D$2:$D$953,AD$3,'Исходные данные'!$F$2:$F$953,$H5&amp;""),SUMIFS('Исходные данные'!$I$2:$I$953,'Исходные данные'!$D$2:$D$953,AD$3,'Исходные данные'!$F$2:$F$953,$H5&amp;"")&amp;"+"&amp;SUMIFS('Исходные данные'!$J$2:$J$953,'Исходные данные'!$D$2:$D$953,AD$3,'Исходные данные'!$F$2:$F$953,$H5&amp;"")&amp;"="&amp;(SUMIFS('Исходные данные'!$I$2:$I$953,'Исходные данные'!$D$2:$D$953,AD$3,'Исходные данные'!$F$2:$F$953,$H5&amp;"")+SUMIFS('Исходные данные'!$J$2:$J$953,'Исходные данные'!$D$2:$D$953,AD$3,'Исходные данные'!$F$2:$F$953,$H5&amp;"")))))</f>
        <v/>
      </c>
    </row>
    <row r="6" ht="25.5" customHeight="1">
      <c r="A6" s="40" t="n">
        <v>4</v>
      </c>
      <c r="B6" s="95" t="n"/>
      <c r="C6" s="117" t="n"/>
      <c r="D6" s="99" t="n"/>
      <c r="E6" s="117" t="n"/>
      <c r="F6" s="117" t="n"/>
      <c r="G6" s="98" t="n"/>
      <c r="H6" s="56" t="n"/>
      <c r="I6" s="41" t="n"/>
      <c r="J6" s="73" t="n"/>
      <c r="K6" s="67" t="n"/>
      <c r="L6" s="85" t="n"/>
      <c r="M6" s="79" t="n"/>
      <c r="N6" s="79" t="n"/>
      <c r="O6" s="42">
        <f>IF(SUMIFS('Исходные данные'!$I$2:$I$953,'Исходные данные'!$D$2:$D$953,O$3,'Исходные данные'!$F$2:$F$953,$H7&amp;"",'Исходные данные'!$L$2:$L$953,"УТТ")+SUMIFS('Исходные данные'!$J$2:$J$953,'Исходные данные'!$D$2:$D$953,O$3,'Исходные данные'!$F$2:$F$953,$H7&amp;"",'Исходные данные'!$L$2:$L$953,"УТТ")=0,"","утт-"&amp;(SUMIFS('Исходные данные'!$I$2:$I$953,'Исходные данные'!$D$2:$D$953,O$3,'Исходные данные'!$F$2:$F$953,$H7&amp;"",'Исходные данные'!$L$2:$L$953,"УТТ")+SUMIFS('Исходные данные'!$J$2:$J$953,'Исходные данные'!$D$2:$D$953,O$3,'Исходные данные'!$F$2:$F$953,$H7&amp;"",'Исходные данные'!$L$2:$L$953,"УТТ")))</f>
        <v/>
      </c>
      <c r="P6" s="43">
        <f>IF(SUMIFS('Исходные данные'!$I$2:$I$953,'Исходные данные'!$D$2:$D$953,P$3,'Исходные данные'!$F$2:$F$953,$H7&amp;"",'Исходные данные'!$L$2:$L$953,"УТТ")+SUMIFS('Исходные данные'!$J$2:$J$953,'Исходные данные'!$D$2:$D$953,P$3,'Исходные данные'!$F$2:$F$953,$H7&amp;"",'Исходные данные'!$L$2:$L$953,"УТТ")=0,"","утт-"&amp;(SUMIFS('Исходные данные'!$I$2:$I$953,'Исходные данные'!$D$2:$D$953,P$3,'Исходные данные'!$F$2:$F$953,$H7&amp;"",'Исходные данные'!$L$2:$L$953,"УТТ")+SUMIFS('Исходные данные'!$J$2:$J$953,'Исходные данные'!$D$2:$D$953,P$3,'Исходные данные'!$F$2:$F$953,$H7&amp;"",'Исходные данные'!$L$2:$L$953,"УТТ")))</f>
        <v/>
      </c>
      <c r="Q6" s="42">
        <f>IF(SUMIFS('Исходные данные'!$I$2:$I$953,'Исходные данные'!$D$2:$D$953,Q$3,'Исходные данные'!$F$2:$F$953,$H7&amp;"",'Исходные данные'!$L$2:$L$953,"УТТ")+SUMIFS('Исходные данные'!$J$2:$J$953,'Исходные данные'!$D$2:$D$953,Q$3,'Исходные данные'!$F$2:$F$953,$H7&amp;"",'Исходные данные'!$L$2:$L$953,"УТТ")=0,"","утт-"&amp;(SUMIFS('Исходные данные'!$I$2:$I$953,'Исходные данные'!$D$2:$D$953,Q$3,'Исходные данные'!$F$2:$F$953,$H7&amp;"",'Исходные данные'!$L$2:$L$953,"УТТ")+SUMIFS('Исходные данные'!$J$2:$J$953,'Исходные данные'!$D$2:$D$953,Q$3,'Исходные данные'!$F$2:$F$953,$H7&amp;"",'Исходные данные'!$L$2:$L$953,"УТТ")))</f>
        <v/>
      </c>
      <c r="R6" s="44">
        <f>IF(SUMIFS('Исходные данные'!$I$2:$I$953,'Исходные данные'!$D$2:$D$953,R$3,'Исходные данные'!$F$2:$F$953,$H7&amp;"",'Исходные данные'!$L$2:$L$953,"УТТ")+SUMIFS('Исходные данные'!$J$2:$J$953,'Исходные данные'!$D$2:$D$953,R$3,'Исходные данные'!$F$2:$F$953,$H7&amp;"",'Исходные данные'!$L$2:$L$953,"УТТ")=0,"","утт-"&amp;(SUMIFS('Исходные данные'!$I$2:$I$953,'Исходные данные'!$D$2:$D$953,R$3,'Исходные данные'!$F$2:$F$953,$H7&amp;"",'Исходные данные'!$L$2:$L$953,"УТТ")+SUMIFS('Исходные данные'!$J$2:$J$953,'Исходные данные'!$D$2:$D$953,R$3,'Исходные данные'!$F$2:$F$953,$H7&amp;"",'Исходные данные'!$L$2:$L$953,"УТТ")))</f>
        <v/>
      </c>
      <c r="S6" s="43">
        <f>IF(SUMIFS('Исходные данные'!$I$2:$I$953,'Исходные данные'!$D$2:$D$953,S$3,'Исходные данные'!$F$2:$F$953,$H7&amp;"",'Исходные данные'!$L$2:$L$953,"УТТ")+SUMIFS('Исходные данные'!$J$2:$J$953,'Исходные данные'!$D$2:$D$953,S$3,'Исходные данные'!$F$2:$F$953,$H7&amp;"",'Исходные данные'!$L$2:$L$953,"УТТ")=0,"","утт-"&amp;(SUMIFS('Исходные данные'!$I$2:$I$953,'Исходные данные'!$D$2:$D$953,S$3,'Исходные данные'!$F$2:$F$953,$H7&amp;"",'Исходные данные'!$L$2:$L$953,"УТТ")+SUMIFS('Исходные данные'!$J$2:$J$953,'Исходные данные'!$D$2:$D$953,S$3,'Исходные данные'!$F$2:$F$953,$H7&amp;"",'Исходные данные'!$L$2:$L$953,"УТТ")))</f>
        <v/>
      </c>
      <c r="T6" s="42">
        <f>IF(SUMIFS('Исходные данные'!$I$2:$I$953,'Исходные данные'!$D$2:$D$953,T$3,'Исходные данные'!$F$2:$F$953,$H7&amp;"",'Исходные данные'!$L$2:$L$953,"УТТ")+SUMIFS('Исходные данные'!$J$2:$J$953,'Исходные данные'!$D$2:$D$953,T$3,'Исходные данные'!$F$2:$F$953,$H7&amp;"",'Исходные данные'!$L$2:$L$953,"УТТ")=0,"","утт-"&amp;(SUMIFS('Исходные данные'!$I$2:$I$953,'Исходные данные'!$D$2:$D$953,T$3,'Исходные данные'!$F$2:$F$953,$H7&amp;"",'Исходные данные'!$L$2:$L$953,"УТТ")+SUMIFS('Исходные данные'!$J$2:$J$953,'Исходные данные'!$D$2:$D$953,T$3,'Исходные данные'!$F$2:$F$953,$H7&amp;"",'Исходные данные'!$L$2:$L$953,"УТТ")))</f>
        <v/>
      </c>
      <c r="U6" s="43">
        <f>IF(SUMIFS('Исходные данные'!$I$2:$I$953,'Исходные данные'!$D$2:$D$953,U$3,'Исходные данные'!$F$2:$F$953,$H7&amp;"",'Исходные данные'!$L$2:$L$953,"УТТ")+SUMIFS('Исходные данные'!$J$2:$J$953,'Исходные данные'!$D$2:$D$953,U$3,'Исходные данные'!$F$2:$F$953,$H7&amp;"",'Исходные данные'!$L$2:$L$953,"УТТ")=0,"","утт-"&amp;(SUMIFS('Исходные данные'!$I$2:$I$953,'Исходные данные'!$D$2:$D$953,U$3,'Исходные данные'!$F$2:$F$953,$H7&amp;"",'Исходные данные'!$L$2:$L$953,"УТТ")+SUMIFS('Исходные данные'!$J$2:$J$953,'Исходные данные'!$D$2:$D$953,U$3,'Исходные данные'!$F$2:$F$953,$H7&amp;"",'Исходные данные'!$L$2:$L$953,"УТТ")))</f>
        <v/>
      </c>
      <c r="V6" s="42">
        <f>IF(SUMIFS('Исходные данные'!$I$2:$I$953,'Исходные данные'!$D$2:$D$953,V$3,'Исходные данные'!$F$2:$F$953,$H7&amp;"",'Исходные данные'!$L$2:$L$953,"УТТ")+SUMIFS('Исходные данные'!$J$2:$J$953,'Исходные данные'!$D$2:$D$953,V$3,'Исходные данные'!$F$2:$F$953,$H7&amp;"",'Исходные данные'!$L$2:$L$953,"УТТ")=0,"","утт-"&amp;(SUMIFS('Исходные данные'!$I$2:$I$953,'Исходные данные'!$D$2:$D$953,V$3,'Исходные данные'!$F$2:$F$953,$H7&amp;"",'Исходные данные'!$L$2:$L$953,"УТТ")+SUMIFS('Исходные данные'!$J$2:$J$953,'Исходные данные'!$D$2:$D$953,V$3,'Исходные данные'!$F$2:$F$953,$H7&amp;"",'Исходные данные'!$L$2:$L$953,"УТТ")))</f>
        <v/>
      </c>
      <c r="W6" s="43">
        <f>IF(SUMIFS('Исходные данные'!$I$2:$I$953,'Исходные данные'!$D$2:$D$953,W$3,'Исходные данные'!$F$2:$F$953,$H7&amp;"",'Исходные данные'!$L$2:$L$953,"УТТ")+SUMIFS('Исходные данные'!$J$2:$J$953,'Исходные данные'!$D$2:$D$953,W$3,'Исходные данные'!$F$2:$F$953,$H7&amp;"",'Исходные данные'!$L$2:$L$953,"УТТ")=0,"","утт-"&amp;(SUMIFS('Исходные данные'!$I$2:$I$953,'Исходные данные'!$D$2:$D$953,W$3,'Исходные данные'!$F$2:$F$953,$H7&amp;"",'Исходные данные'!$L$2:$L$953,"УТТ")+SUMIFS('Исходные данные'!$J$2:$J$953,'Исходные данные'!$D$2:$D$953,W$3,'Исходные данные'!$F$2:$F$953,$H7&amp;"",'Исходные данные'!$L$2:$L$953,"УТТ")))</f>
        <v/>
      </c>
      <c r="X6" s="43">
        <f>IF(SUMIFS('Исходные данные'!$I$2:$I$953,'Исходные данные'!$D$2:$D$953,X$3,'Исходные данные'!$F$2:$F$953,$H7&amp;"",'Исходные данные'!$L$2:$L$953,"УТТ")+SUMIFS('Исходные данные'!$J$2:$J$953,'Исходные данные'!$D$2:$D$953,X$3,'Исходные данные'!$F$2:$F$953,$H7&amp;"",'Исходные данные'!$L$2:$L$953,"УТТ")=0,"","утт-"&amp;(SUMIFS('Исходные данные'!$I$2:$I$953,'Исходные данные'!$D$2:$D$953,X$3,'Исходные данные'!$F$2:$F$953,$H7&amp;"",'Исходные данные'!$L$2:$L$953,"УТТ")+SUMIFS('Исходные данные'!$J$2:$J$953,'Исходные данные'!$D$2:$D$953,X$3,'Исходные данные'!$F$2:$F$953,$H7&amp;"",'Исходные данные'!$L$2:$L$953,"УТТ")))</f>
        <v/>
      </c>
      <c r="Y6" s="45">
        <f>IF(SUMIFS('Исходные данные'!$I$2:$I$953,'Исходные данные'!$D$2:$D$953,Y$3,'Исходные данные'!$F$2:$F$953,$H7&amp;"",'Исходные данные'!$L$2:$L$953,"УТТ")+SUMIFS('Исходные данные'!$J$2:$J$953,'Исходные данные'!$D$2:$D$953,Y$3,'Исходные данные'!$F$2:$F$953,$H7&amp;"",'Исходные данные'!$L$2:$L$953,"УТТ")=0,"","утт-"&amp;(SUMIFS('Исходные данные'!$I$2:$I$953,'Исходные данные'!$D$2:$D$953,Y$3,'Исходные данные'!$F$2:$F$953,$H7&amp;"",'Исходные данные'!$L$2:$L$953,"УТТ")+SUMIFS('Исходные данные'!$J$2:$J$953,'Исходные данные'!$D$2:$D$953,Y$3,'Исходные данные'!$F$2:$F$953,$H7&amp;"",'Исходные данные'!$L$2:$L$953,"УТТ")))</f>
        <v/>
      </c>
      <c r="Z6" s="42">
        <f>IF(SUMIFS('Исходные данные'!$I$2:$I$953,'Исходные данные'!$D$2:$D$953,Z$3,'Исходные данные'!$F$2:$F$953,$H7&amp;"",'Исходные данные'!$L$2:$L$953,"УТТ")+SUMIFS('Исходные данные'!$J$2:$J$953,'Исходные данные'!$D$2:$D$953,Z$3,'Исходные данные'!$F$2:$F$953,$H7&amp;"",'Исходные данные'!$L$2:$L$953,"УТТ")=0,"","утт-"&amp;(SUMIFS('Исходные данные'!$I$2:$I$953,'Исходные данные'!$D$2:$D$953,Z$3,'Исходные данные'!$F$2:$F$953,$H7&amp;"",'Исходные данные'!$L$2:$L$953,"УТТ")+SUMIFS('Исходные данные'!$J$2:$J$953,'Исходные данные'!$D$2:$D$953,Z$3,'Исходные данные'!$F$2:$F$953,$H7&amp;"",'Исходные данные'!$L$2:$L$953,"УТТ")))</f>
        <v/>
      </c>
      <c r="AA6" s="43">
        <f>IF(SUMIFS('Исходные данные'!$I$2:$I$953,'Исходные данные'!$D$2:$D$953,AA$3,'Исходные данные'!$F$2:$F$953,$H7&amp;"",'Исходные данные'!$L$2:$L$953,"УТТ")+SUMIFS('Исходные данные'!$J$2:$J$953,'Исходные данные'!$D$2:$D$953,AA$3,'Исходные данные'!$F$2:$F$953,$H7&amp;"",'Исходные данные'!$L$2:$L$953,"УТТ")=0,"","утт-"&amp;(SUMIFS('Исходные данные'!$I$2:$I$953,'Исходные данные'!$D$2:$D$953,AA$3,'Исходные данные'!$F$2:$F$953,$H7&amp;"",'Исходные данные'!$L$2:$L$953,"УТТ")+SUMIFS('Исходные данные'!$J$2:$J$953,'Исходные данные'!$D$2:$D$953,AA$3,'Исходные данные'!$F$2:$F$953,$H7&amp;"",'Исходные данные'!$L$2:$L$953,"УТТ")))</f>
        <v/>
      </c>
      <c r="AB6" s="43" t="n"/>
      <c r="AC6" s="42">
        <f>IF(SUMIFS('Исходные данные'!$I$2:$I$953,'Исходные данные'!$D$2:$D$953,AC$3,'Исходные данные'!$F$2:$F$953,$H7&amp;"",'Исходные данные'!$L$2:$L$953,"УТТ")+SUMIFS('Исходные данные'!$J$2:$J$953,'Исходные данные'!$D$2:$D$953,AC$3,'Исходные данные'!$F$2:$F$953,$H7&amp;"",'Исходные данные'!$L$2:$L$953,"УТТ")=0,"","утт-"&amp;(SUMIFS('Исходные данные'!$I$2:$I$953,'Исходные данные'!$D$2:$D$953,AC$3,'Исходные данные'!$F$2:$F$953,$H7&amp;"",'Исходные данные'!$L$2:$L$953,"УТТ")+SUMIFS('Исходные данные'!$J$2:$J$953,'Исходные данные'!$D$2:$D$953,AC$3,'Исходные данные'!$F$2:$F$953,$H7&amp;"",'Исходные данные'!$L$2:$L$953,"УТТ")))</f>
        <v/>
      </c>
      <c r="AD6" s="43">
        <f>IF(SUMIFS('Исходные данные'!$I$2:$I$953,'Исходные данные'!$D$2:$D$953,AD$3,'Исходные данные'!$F$2:$F$953,$H7&amp;"",'Исходные данные'!$L$2:$L$953,"УТТ")+SUMIFS('Исходные данные'!$J$2:$J$953,'Исходные данные'!$D$2:$D$953,AD$3,'Исходные данные'!$F$2:$F$953,$H7&amp;"",'Исходные данные'!$L$2:$L$953,"УТТ")=0,"","утт-"&amp;(SUMIFS('Исходные данные'!$I$2:$I$953,'Исходные данные'!$D$2:$D$953,AD$3,'Исходные данные'!$F$2:$F$953,$H7&amp;"",'Исходные данные'!$L$2:$L$953,"УТТ")+SUMIFS('Исходные данные'!$J$2:$J$953,'Исходные данные'!$D$2:$D$953,AD$3,'Исходные данные'!$F$2:$F$953,$H7&amp;"",'Исходные данные'!$L$2:$L$953,"УТТ")))</f>
        <v/>
      </c>
    </row>
    <row r="7" ht="25.5" customHeight="1">
      <c r="A7" s="26" t="n">
        <v>5</v>
      </c>
      <c r="B7" s="95" t="n"/>
      <c r="C7" s="117" t="n"/>
      <c r="D7" s="118" t="n"/>
      <c r="E7" s="118" t="n"/>
      <c r="F7" s="118" t="n"/>
      <c r="G7" s="119" t="n"/>
      <c r="H7" s="56" t="n">
        <v>47</v>
      </c>
      <c r="I7" s="35" t="inlineStr">
        <is>
          <t>Экскаватор</t>
        </is>
      </c>
      <c r="J7" s="72">
        <f>IFERROR(INDEX('Выход ТС'!$C:$C,MATCH($H7&amp;"",'Выход ТС'!$A:$A,0)),"")</f>
        <v/>
      </c>
      <c r="K7" s="66">
        <f>IFERROR(INDEX('Выход ТС'!$D:$D,MATCH($H7&amp;"",'Выход ТС'!$A:$A,0)),"")</f>
        <v/>
      </c>
      <c r="L7" s="84">
        <f>IFERROR(INDEX('Выход ТС'!$E:$E,MATCH($H7&amp;"",'Выход ТС'!$A:$A,0)),"")</f>
        <v/>
      </c>
      <c r="M7" s="78">
        <f>IFERROR(IF(INDEX('Выход ТС'!$F:$F,MATCH($H7&amp;"",'Выход ТС'!$A:$A,0))=0,"",INDEX('Выход ТС'!$F:$F,MATCH($H7&amp;"",'Выход ТС'!$A:$A,0))),"")</f>
        <v/>
      </c>
      <c r="N7" s="80">
        <f>IFERROR(IF(INDEX('Выход ТС'!$G:$G,MATCH($H7&amp;"",'Выход ТС'!$A:$A,0))=0,"",INDEX('Выход ТС'!$G:$G,MATCH($H7&amp;"",'Выход ТС'!$A:$A,0))),"")</f>
        <v/>
      </c>
      <c r="O7" s="36">
        <f>IF(SUMIFS('Исходные данные'!$I$2:$I$953,'Исходные данные'!$D$2:$D$953,O$3,'Исходные данные'!$F$2:$F$953,$H7&amp;"")+SUMIFS('Исходные данные'!$J$2:$J$953,'Исходные данные'!$D$2:$D$953,O$3,'Исходные данные'!$F$2:$F$953,$H7&amp;"")=0,"",IF(SUMIFS('Исходные данные'!$J$2:$J$953,'Исходные данные'!$D$2:$D$953,O$3,'Исходные данные'!$F$2:$F$953,$H7&amp;"")=0,SUMIFS('Исходные данные'!$I$2:$I$953,'Исходные данные'!$D$2:$D$953,O$3,'Исходные данные'!$F$2:$F$953,$H7&amp;""),IF(SUMIFS('Исходные данные'!$I$2:$I$953,'Исходные данные'!$D$2:$D$953,O$3,'Исходные данные'!$F$2:$F$953,$H7&amp;"")=0,"0+"&amp;SUMIFS('Исходные данные'!$J$2:$J$953,'Исходные данные'!$D$2:$D$953,O$3,'Исходные данные'!$F$2:$F$953,$H7&amp;"")&amp;"="&amp;SUMIFS('Исходные данные'!$J$2:$J$953,'Исходные данные'!$D$2:$D$953,O$3,'Исходные данные'!$F$2:$F$953,$H7&amp;""),SUMIFS('Исходные данные'!$I$2:$I$953,'Исходные данные'!$D$2:$D$953,O$3,'Исходные данные'!$F$2:$F$953,$H7&amp;"")&amp;"+"&amp;SUMIFS('Исходные данные'!$J$2:$J$953,'Исходные данные'!$D$2:$D$953,O$3,'Исходные данные'!$F$2:$F$953,$H7&amp;"")&amp;"="&amp;(SUMIFS('Исходные данные'!$I$2:$I$953,'Исходные данные'!$D$2:$D$953,O$3,'Исходные данные'!$F$2:$F$953,$H7&amp;"")+SUMIFS('Исходные данные'!$J$2:$J$953,'Исходные данные'!$D$2:$D$953,O$3,'Исходные данные'!$F$2:$F$953,$H7&amp;"")))))</f>
        <v/>
      </c>
      <c r="P7" s="37">
        <f>IF(SUMIFS('Исходные данные'!$I$2:$I$953,'Исходные данные'!$D$2:$D$953,P$3,'Исходные данные'!$F$2:$F$953,$H7&amp;"")+SUMIFS('Исходные данные'!$J$2:$J$953,'Исходные данные'!$D$2:$D$953,P$3,'Исходные данные'!$F$2:$F$953,$H7&amp;"")=0,"",IF(SUMIFS('Исходные данные'!$J$2:$J$953,'Исходные данные'!$D$2:$D$953,P$3,'Исходные данные'!$F$2:$F$953,$H7&amp;"")=0,SUMIFS('Исходные данные'!$I$2:$I$953,'Исходные данные'!$D$2:$D$953,P$3,'Исходные данные'!$F$2:$F$953,$H7&amp;""),IF(SUMIFS('Исходные данные'!$I$2:$I$953,'Исходные данные'!$D$2:$D$953,P$3,'Исходные данные'!$F$2:$F$953,$H7&amp;"")=0,"0+"&amp;SUMIFS('Исходные данные'!$J$2:$J$953,'Исходные данные'!$D$2:$D$953,P$3,'Исходные данные'!$F$2:$F$953,$H7&amp;"")&amp;"="&amp;SUMIFS('Исходные данные'!$J$2:$J$953,'Исходные данные'!$D$2:$D$953,P$3,'Исходные данные'!$F$2:$F$953,$H7&amp;""),SUMIFS('Исходные данные'!$I$2:$I$953,'Исходные данные'!$D$2:$D$953,P$3,'Исходные данные'!$F$2:$F$953,$H7&amp;"")&amp;"+"&amp;SUMIFS('Исходные данные'!$J$2:$J$953,'Исходные данные'!$D$2:$D$953,P$3,'Исходные данные'!$F$2:$F$953,$H7&amp;"")&amp;"="&amp;(SUMIFS('Исходные данные'!$I$2:$I$953,'Исходные данные'!$D$2:$D$953,P$3,'Исходные данные'!$F$2:$F$953,$H7&amp;"")+SUMIFS('Исходные данные'!$J$2:$J$953,'Исходные данные'!$D$2:$D$953,P$3,'Исходные данные'!$F$2:$F$953,$H7&amp;"")))))</f>
        <v/>
      </c>
      <c r="Q7" s="36">
        <f>IF(SUMIFS('Исходные данные'!$I$2:$I$953,'Исходные данные'!$D$2:$D$953,Q$3,'Исходные данные'!$F$2:$F$953,$H7&amp;"")+SUMIFS('Исходные данные'!$J$2:$J$953,'Исходные данные'!$D$2:$D$953,Q$3,'Исходные данные'!$F$2:$F$953,$H7&amp;"")=0,"",IF(SUMIFS('Исходные данные'!$J$2:$J$953,'Исходные данные'!$D$2:$D$953,Q$3,'Исходные данные'!$F$2:$F$953,$H7&amp;"")=0,SUMIFS('Исходные данные'!$I$2:$I$953,'Исходные данные'!$D$2:$D$953,Q$3,'Исходные данные'!$F$2:$F$953,$H7&amp;""),IF(SUMIFS('Исходные данные'!$I$2:$I$953,'Исходные данные'!$D$2:$D$953,Q$3,'Исходные данные'!$F$2:$F$953,$H7&amp;"")=0,"0+"&amp;SUMIFS('Исходные данные'!$J$2:$J$953,'Исходные данные'!$D$2:$D$953,Q$3,'Исходные данные'!$F$2:$F$953,$H7&amp;"")&amp;"="&amp;SUMIFS('Исходные данные'!$J$2:$J$953,'Исходные данные'!$D$2:$D$953,Q$3,'Исходные данные'!$F$2:$F$953,$H7&amp;""),SUMIFS('Исходные данные'!$I$2:$I$953,'Исходные данные'!$D$2:$D$953,Q$3,'Исходные данные'!$F$2:$F$953,$H7&amp;"")&amp;"+"&amp;SUMIFS('Исходные данные'!$J$2:$J$953,'Исходные данные'!$D$2:$D$953,Q$3,'Исходные данные'!$F$2:$F$953,$H7&amp;"")&amp;"="&amp;(SUMIFS('Исходные данные'!$I$2:$I$953,'Исходные данные'!$D$2:$D$953,Q$3,'Исходные данные'!$F$2:$F$953,$H7&amp;"")+SUMIFS('Исходные данные'!$J$2:$J$953,'Исходные данные'!$D$2:$D$953,Q$3,'Исходные данные'!$F$2:$F$953,$H7&amp;"")))))</f>
        <v/>
      </c>
      <c r="R7" s="38">
        <f>IF(SUMIFS('Исходные данные'!$I$2:$I$953,'Исходные данные'!$D$2:$D$953,R$3,'Исходные данные'!$F$2:$F$953,$H7&amp;"")+SUMIFS('Исходные данные'!$J$2:$J$953,'Исходные данные'!$D$2:$D$953,R$3,'Исходные данные'!$F$2:$F$953,$H7&amp;"")=0,"",IF(SUMIFS('Исходные данные'!$J$2:$J$953,'Исходные данные'!$D$2:$D$953,R$3,'Исходные данные'!$F$2:$F$953,$H7&amp;"")=0,SUMIFS('Исходные данные'!$I$2:$I$953,'Исходные данные'!$D$2:$D$953,R$3,'Исходные данные'!$F$2:$F$953,$H7&amp;""),IF(SUMIFS('Исходные данные'!$I$2:$I$953,'Исходные данные'!$D$2:$D$953,R$3,'Исходные данные'!$F$2:$F$953,$H7&amp;"")=0,"0+"&amp;SUMIFS('Исходные данные'!$J$2:$J$953,'Исходные данные'!$D$2:$D$953,R$3,'Исходные данные'!$F$2:$F$953,$H7&amp;"")&amp;"="&amp;SUMIFS('Исходные данные'!$J$2:$J$953,'Исходные данные'!$D$2:$D$953,R$3,'Исходные данные'!$F$2:$F$953,$H7&amp;""),SUMIFS('Исходные данные'!$I$2:$I$953,'Исходные данные'!$D$2:$D$953,R$3,'Исходные данные'!$F$2:$F$953,$H7&amp;"")&amp;"+"&amp;SUMIFS('Исходные данные'!$J$2:$J$953,'Исходные данные'!$D$2:$D$953,R$3,'Исходные данные'!$F$2:$F$953,$H7&amp;"")&amp;"="&amp;(SUMIFS('Исходные данные'!$I$2:$I$953,'Исходные данные'!$D$2:$D$953,R$3,'Исходные данные'!$F$2:$F$953,$H7&amp;"")+SUMIFS('Исходные данные'!$J$2:$J$953,'Исходные данные'!$D$2:$D$953,R$3,'Исходные данные'!$F$2:$F$953,$H7&amp;"")))))</f>
        <v/>
      </c>
      <c r="S7" s="37">
        <f>IF(SUMIFS('Исходные данные'!$I$2:$I$953,'Исходные данные'!$D$2:$D$953,S$3,'Исходные данные'!$F$2:$F$953,$H7&amp;"")+SUMIFS('Исходные данные'!$J$2:$J$953,'Исходные данные'!$D$2:$D$953,S$3,'Исходные данные'!$F$2:$F$953,$H7&amp;"")=0,"",IF(SUMIFS('Исходные данные'!$J$2:$J$953,'Исходные данные'!$D$2:$D$953,S$3,'Исходные данные'!$F$2:$F$953,$H7&amp;"")=0,SUMIFS('Исходные данные'!$I$2:$I$953,'Исходные данные'!$D$2:$D$953,S$3,'Исходные данные'!$F$2:$F$953,$H7&amp;""),IF(SUMIFS('Исходные данные'!$I$2:$I$953,'Исходные данные'!$D$2:$D$953,S$3,'Исходные данные'!$F$2:$F$953,$H7&amp;"")=0,"0+"&amp;SUMIFS('Исходные данные'!$J$2:$J$953,'Исходные данные'!$D$2:$D$953,S$3,'Исходные данные'!$F$2:$F$953,$H7&amp;"")&amp;"="&amp;SUMIFS('Исходные данные'!$J$2:$J$953,'Исходные данные'!$D$2:$D$953,S$3,'Исходные данные'!$F$2:$F$953,$H7&amp;""),SUMIFS('Исходные данные'!$I$2:$I$953,'Исходные данные'!$D$2:$D$953,S$3,'Исходные данные'!$F$2:$F$953,$H7&amp;"")&amp;"+"&amp;SUMIFS('Исходные данные'!$J$2:$J$953,'Исходные данные'!$D$2:$D$953,S$3,'Исходные данные'!$F$2:$F$953,$H7&amp;"")&amp;"="&amp;(SUMIFS('Исходные данные'!$I$2:$I$953,'Исходные данные'!$D$2:$D$953,S$3,'Исходные данные'!$F$2:$F$953,$H7&amp;"")+SUMIFS('Исходные данные'!$J$2:$J$953,'Исходные данные'!$D$2:$D$953,S$3,'Исходные данные'!$F$2:$F$953,$H7&amp;"")))))</f>
        <v/>
      </c>
      <c r="T7" s="36">
        <f>IF(SUMIFS('Исходные данные'!$I$2:$I$953,'Исходные данные'!$D$2:$D$953,T$3,'Исходные данные'!$F$2:$F$953,$H7&amp;"")+SUMIFS('Исходные данные'!$J$2:$J$953,'Исходные данные'!$D$2:$D$953,T$3,'Исходные данные'!$F$2:$F$953,$H7&amp;"")=0,"",IF(SUMIFS('Исходные данные'!$J$2:$J$953,'Исходные данные'!$D$2:$D$953,T$3,'Исходные данные'!$F$2:$F$953,$H7&amp;"")=0,SUMIFS('Исходные данные'!$I$2:$I$953,'Исходные данные'!$D$2:$D$953,T$3,'Исходные данные'!$F$2:$F$953,$H7&amp;""),IF(SUMIFS('Исходные данные'!$I$2:$I$953,'Исходные данные'!$D$2:$D$953,T$3,'Исходные данные'!$F$2:$F$953,$H7&amp;"")=0,"0+"&amp;SUMIFS('Исходные данные'!$J$2:$J$953,'Исходные данные'!$D$2:$D$953,T$3,'Исходные данные'!$F$2:$F$953,$H7&amp;"")&amp;"="&amp;SUMIFS('Исходные данные'!$J$2:$J$953,'Исходные данные'!$D$2:$D$953,T$3,'Исходные данные'!$F$2:$F$953,$H7&amp;""),SUMIFS('Исходные данные'!$I$2:$I$953,'Исходные данные'!$D$2:$D$953,T$3,'Исходные данные'!$F$2:$F$953,$H7&amp;"")&amp;"+"&amp;SUMIFS('Исходные данные'!$J$2:$J$953,'Исходные данные'!$D$2:$D$953,T$3,'Исходные данные'!$F$2:$F$953,$H7&amp;"")&amp;"="&amp;(SUMIFS('Исходные данные'!$I$2:$I$953,'Исходные данные'!$D$2:$D$953,T$3,'Исходные данные'!$F$2:$F$953,$H7&amp;"")+SUMIFS('Исходные данные'!$J$2:$J$953,'Исходные данные'!$D$2:$D$953,T$3,'Исходные данные'!$F$2:$F$953,$H7&amp;"")))))</f>
        <v/>
      </c>
      <c r="U7" s="37">
        <f>IF(SUMIFS('Исходные данные'!$I$2:$I$953,'Исходные данные'!$D$2:$D$953,U$3,'Исходные данные'!$F$2:$F$953,$H7&amp;"")+SUMIFS('Исходные данные'!$J$2:$J$953,'Исходные данные'!$D$2:$D$953,U$3,'Исходные данные'!$F$2:$F$953,$H7&amp;"")=0,"",IF(SUMIFS('Исходные данные'!$J$2:$J$953,'Исходные данные'!$D$2:$D$953,U$3,'Исходные данные'!$F$2:$F$953,$H7&amp;"")=0,SUMIFS('Исходные данные'!$I$2:$I$953,'Исходные данные'!$D$2:$D$953,U$3,'Исходные данные'!$F$2:$F$953,$H7&amp;""),IF(SUMIFS('Исходные данные'!$I$2:$I$953,'Исходные данные'!$D$2:$D$953,U$3,'Исходные данные'!$F$2:$F$953,$H7&amp;"")=0,"0+"&amp;SUMIFS('Исходные данные'!$J$2:$J$953,'Исходные данные'!$D$2:$D$953,U$3,'Исходные данные'!$F$2:$F$953,$H7&amp;"")&amp;"="&amp;SUMIFS('Исходные данные'!$J$2:$J$953,'Исходные данные'!$D$2:$D$953,U$3,'Исходные данные'!$F$2:$F$953,$H7&amp;""),SUMIFS('Исходные данные'!$I$2:$I$953,'Исходные данные'!$D$2:$D$953,U$3,'Исходные данные'!$F$2:$F$953,$H7&amp;"")&amp;"+"&amp;SUMIFS('Исходные данные'!$J$2:$J$953,'Исходные данные'!$D$2:$D$953,U$3,'Исходные данные'!$F$2:$F$953,$H7&amp;"")&amp;"="&amp;(SUMIFS('Исходные данные'!$I$2:$I$953,'Исходные данные'!$D$2:$D$953,U$3,'Исходные данные'!$F$2:$F$953,$H7&amp;"")+SUMIFS('Исходные данные'!$J$2:$J$953,'Исходные данные'!$D$2:$D$953,U$3,'Исходные данные'!$F$2:$F$953,$H7&amp;"")))))</f>
        <v/>
      </c>
      <c r="V7" s="36">
        <f>IF(SUMIFS('Исходные данные'!$I$2:$I$953,'Исходные данные'!$D$2:$D$953,V$3,'Исходные данные'!$F$2:$F$953,$H7&amp;"")+SUMIFS('Исходные данные'!$J$2:$J$953,'Исходные данные'!$D$2:$D$953,V$3,'Исходные данные'!$F$2:$F$953,$H7&amp;"")=0,"",IF(SUMIFS('Исходные данные'!$J$2:$J$953,'Исходные данные'!$D$2:$D$953,V$3,'Исходные данные'!$F$2:$F$953,$H7&amp;"")=0,SUMIFS('Исходные данные'!$I$2:$I$953,'Исходные данные'!$D$2:$D$953,V$3,'Исходные данные'!$F$2:$F$953,$H7&amp;""),IF(SUMIFS('Исходные данные'!$I$2:$I$953,'Исходные данные'!$D$2:$D$953,V$3,'Исходные данные'!$F$2:$F$953,$H7&amp;"")=0,"0+"&amp;SUMIFS('Исходные данные'!$J$2:$J$953,'Исходные данные'!$D$2:$D$953,V$3,'Исходные данные'!$F$2:$F$953,$H7&amp;"")&amp;"="&amp;SUMIFS('Исходные данные'!$J$2:$J$953,'Исходные данные'!$D$2:$D$953,V$3,'Исходные данные'!$F$2:$F$953,$H7&amp;""),SUMIFS('Исходные данные'!$I$2:$I$953,'Исходные данные'!$D$2:$D$953,V$3,'Исходные данные'!$F$2:$F$953,$H7&amp;"")&amp;"+"&amp;SUMIFS('Исходные данные'!$J$2:$J$953,'Исходные данные'!$D$2:$D$953,V$3,'Исходные данные'!$F$2:$F$953,$H7&amp;"")&amp;"="&amp;(SUMIFS('Исходные данные'!$I$2:$I$953,'Исходные данные'!$D$2:$D$953,V$3,'Исходные данные'!$F$2:$F$953,$H7&amp;"")+SUMIFS('Исходные данные'!$J$2:$J$953,'Исходные данные'!$D$2:$D$953,V$3,'Исходные данные'!$F$2:$F$953,$H7&amp;"")))))</f>
        <v/>
      </c>
      <c r="W7" s="37">
        <f>IF(SUMIFS('Исходные данные'!$I$2:$I$953,'Исходные данные'!$D$2:$D$953,W$3,'Исходные данные'!$F$2:$F$953,$H7&amp;"")+SUMIFS('Исходные данные'!$J$2:$J$953,'Исходные данные'!$D$2:$D$953,W$3,'Исходные данные'!$F$2:$F$953,$H7&amp;"")=0,"",IF(SUMIFS('Исходные данные'!$J$2:$J$953,'Исходные данные'!$D$2:$D$953,W$3,'Исходные данные'!$F$2:$F$953,$H7&amp;"")=0,SUMIFS('Исходные данные'!$I$2:$I$953,'Исходные данные'!$D$2:$D$953,W$3,'Исходные данные'!$F$2:$F$953,$H7&amp;""),IF(SUMIFS('Исходные данные'!$I$2:$I$953,'Исходные данные'!$D$2:$D$953,W$3,'Исходные данные'!$F$2:$F$953,$H7&amp;"")=0,"0+"&amp;SUMIFS('Исходные данные'!$J$2:$J$953,'Исходные данные'!$D$2:$D$953,W$3,'Исходные данные'!$F$2:$F$953,$H7&amp;"")&amp;"="&amp;SUMIFS('Исходные данные'!$J$2:$J$953,'Исходные данные'!$D$2:$D$953,W$3,'Исходные данные'!$F$2:$F$953,$H7&amp;""),SUMIFS('Исходные данные'!$I$2:$I$953,'Исходные данные'!$D$2:$D$953,W$3,'Исходные данные'!$F$2:$F$953,$H7&amp;"")&amp;"+"&amp;SUMIFS('Исходные данные'!$J$2:$J$953,'Исходные данные'!$D$2:$D$953,W$3,'Исходные данные'!$F$2:$F$953,$H7&amp;"")&amp;"="&amp;(SUMIFS('Исходные данные'!$I$2:$I$953,'Исходные данные'!$D$2:$D$953,W$3,'Исходные данные'!$F$2:$F$953,$H7&amp;"")+SUMIFS('Исходные данные'!$J$2:$J$953,'Исходные данные'!$D$2:$D$953,W$3,'Исходные данные'!$F$2:$F$953,$H7&amp;"")))))</f>
        <v/>
      </c>
      <c r="X7" s="37">
        <f>IF(SUMIFS('Исходные данные'!$I$2:$I$953,'Исходные данные'!$D$2:$D$953,X$3,'Исходные данные'!$F$2:$F$953,$H7&amp;"")+SUMIFS('Исходные данные'!$J$2:$J$953,'Исходные данные'!$D$2:$D$953,X$3,'Исходные данные'!$F$2:$F$953,$H7&amp;"")=0,"",IF(SUMIFS('Исходные данные'!$J$2:$J$953,'Исходные данные'!$D$2:$D$953,X$3,'Исходные данные'!$F$2:$F$953,$H7&amp;"")=0,SUMIFS('Исходные данные'!$I$2:$I$953,'Исходные данные'!$D$2:$D$953,X$3,'Исходные данные'!$F$2:$F$953,$H7&amp;""),IF(SUMIFS('Исходные данные'!$I$2:$I$953,'Исходные данные'!$D$2:$D$953,X$3,'Исходные данные'!$F$2:$F$953,$H7&amp;"")=0,"0+"&amp;SUMIFS('Исходные данные'!$J$2:$J$953,'Исходные данные'!$D$2:$D$953,X$3,'Исходные данные'!$F$2:$F$953,$H7&amp;"")&amp;"="&amp;SUMIFS('Исходные данные'!$J$2:$J$953,'Исходные данные'!$D$2:$D$953,X$3,'Исходные данные'!$F$2:$F$953,$H7&amp;""),SUMIFS('Исходные данные'!$I$2:$I$953,'Исходные данные'!$D$2:$D$953,X$3,'Исходные данные'!$F$2:$F$953,$H7&amp;"")&amp;"+"&amp;SUMIFS('Исходные данные'!$J$2:$J$953,'Исходные данные'!$D$2:$D$953,X$3,'Исходные данные'!$F$2:$F$953,$H7&amp;"")&amp;"="&amp;(SUMIFS('Исходные данные'!$I$2:$I$953,'Исходные данные'!$D$2:$D$953,X$3,'Исходные данные'!$F$2:$F$953,$H7&amp;"")+SUMIFS('Исходные данные'!$J$2:$J$953,'Исходные данные'!$D$2:$D$953,X$3,'Исходные данные'!$F$2:$F$953,$H7&amp;"")))))</f>
        <v/>
      </c>
      <c r="Y7" s="39">
        <f>IF(SUMIFS('Исходные данные'!$I$2:$I$953,'Исходные данные'!$D$2:$D$953,Y$3,'Исходные данные'!$F$2:$F$953,$H7&amp;"")+SUMIFS('Исходные данные'!$J$2:$J$953,'Исходные данные'!$D$2:$D$953,Y$3,'Исходные данные'!$F$2:$F$953,$H7&amp;"")=0,"",IF(SUMIFS('Исходные данные'!$J$2:$J$953,'Исходные данные'!$D$2:$D$953,Y$3,'Исходные данные'!$F$2:$F$953,$H7&amp;"")=0,SUMIFS('Исходные данные'!$I$2:$I$953,'Исходные данные'!$D$2:$D$953,Y$3,'Исходные данные'!$F$2:$F$953,$H7&amp;""),IF(SUMIFS('Исходные данные'!$I$2:$I$953,'Исходные данные'!$D$2:$D$953,Y$3,'Исходные данные'!$F$2:$F$953,$H7&amp;"")=0,"0+"&amp;SUMIFS('Исходные данные'!$J$2:$J$953,'Исходные данные'!$D$2:$D$953,Y$3,'Исходные данные'!$F$2:$F$953,$H7&amp;"")&amp;"="&amp;SUMIFS('Исходные данные'!$J$2:$J$953,'Исходные данные'!$D$2:$D$953,Y$3,'Исходные данные'!$F$2:$F$953,$H7&amp;""),SUMIFS('Исходные данные'!$I$2:$I$953,'Исходные данные'!$D$2:$D$953,Y$3,'Исходные данные'!$F$2:$F$953,$H7&amp;"")&amp;"+"&amp;SUMIFS('Исходные данные'!$J$2:$J$953,'Исходные данные'!$D$2:$D$953,Y$3,'Исходные данные'!$F$2:$F$953,$H7&amp;"")&amp;"="&amp;(SUMIFS('Исходные данные'!$I$2:$I$953,'Исходные данные'!$D$2:$D$953,Y$3,'Исходные данные'!$F$2:$F$953,$H7&amp;"")+SUMIFS('Исходные данные'!$J$2:$J$953,'Исходные данные'!$D$2:$D$953,Y$3,'Исходные данные'!$F$2:$F$953,$H7&amp;"")))))</f>
        <v/>
      </c>
      <c r="Z7" s="36">
        <f>IF(SUMIFS('Исходные данные'!$I$2:$I$953,'Исходные данные'!$D$2:$D$953,Z$3,'Исходные данные'!$F$2:$F$953,$H7&amp;"")+SUMIFS('Исходные данные'!$J$2:$J$953,'Исходные данные'!$D$2:$D$953,Z$3,'Исходные данные'!$F$2:$F$953,$H7&amp;"")=0,"",IF(SUMIFS('Исходные данные'!$J$2:$J$953,'Исходные данные'!$D$2:$D$953,Z$3,'Исходные данные'!$F$2:$F$953,$H7&amp;"")=0,SUMIFS('Исходные данные'!$I$2:$I$953,'Исходные данные'!$D$2:$D$953,Z$3,'Исходные данные'!$F$2:$F$953,$H7&amp;""),IF(SUMIFS('Исходные данные'!$I$2:$I$953,'Исходные данные'!$D$2:$D$953,Z$3,'Исходные данные'!$F$2:$F$953,$H7&amp;"")=0,"0+"&amp;SUMIFS('Исходные данные'!$J$2:$J$953,'Исходные данные'!$D$2:$D$953,Z$3,'Исходные данные'!$F$2:$F$953,$H7&amp;"")&amp;"="&amp;SUMIFS('Исходные данные'!$J$2:$J$953,'Исходные данные'!$D$2:$D$953,Z$3,'Исходные данные'!$F$2:$F$953,$H7&amp;""),SUMIFS('Исходные данные'!$I$2:$I$953,'Исходные данные'!$D$2:$D$953,Z$3,'Исходные данные'!$F$2:$F$953,$H7&amp;"")&amp;"+"&amp;SUMIFS('Исходные данные'!$J$2:$J$953,'Исходные данные'!$D$2:$D$953,Z$3,'Исходные данные'!$F$2:$F$953,$H7&amp;"")&amp;"="&amp;(SUMIFS('Исходные данные'!$I$2:$I$953,'Исходные данные'!$D$2:$D$953,Z$3,'Исходные данные'!$F$2:$F$953,$H7&amp;"")+SUMIFS('Исходные данные'!$J$2:$J$953,'Исходные данные'!$D$2:$D$953,Z$3,'Исходные данные'!$F$2:$F$953,$H7&amp;"")))))</f>
        <v/>
      </c>
      <c r="AA7" s="37">
        <f>IF(SUMIFS('Исходные данные'!$I$2:$I$953,'Исходные данные'!$D$2:$D$953,AA$3,'Исходные данные'!$F$2:$F$953,$H7&amp;"")+SUMIFS('Исходные данные'!$J$2:$J$953,'Исходные данные'!$D$2:$D$953,AA$3,'Исходные данные'!$F$2:$F$953,$H7&amp;"")=0,"",IF(SUMIFS('Исходные данные'!$J$2:$J$953,'Исходные данные'!$D$2:$D$953,AA$3,'Исходные данные'!$F$2:$F$953,$H7&amp;"")=0,SUMIFS('Исходные данные'!$I$2:$I$953,'Исходные данные'!$D$2:$D$953,AA$3,'Исходные данные'!$F$2:$F$953,$H7&amp;""),IF(SUMIFS('Исходные данные'!$I$2:$I$953,'Исходные данные'!$D$2:$D$953,AA$3,'Исходные данные'!$F$2:$F$953,$H7&amp;"")=0,"0+"&amp;SUMIFS('Исходные данные'!$J$2:$J$953,'Исходные данные'!$D$2:$D$953,AA$3,'Исходные данные'!$F$2:$F$953,$H7&amp;"")&amp;"="&amp;SUMIFS('Исходные данные'!$J$2:$J$953,'Исходные данные'!$D$2:$D$953,AA$3,'Исходные данные'!$F$2:$F$953,$H7&amp;""),SUMIFS('Исходные данные'!$I$2:$I$953,'Исходные данные'!$D$2:$D$953,AA$3,'Исходные данные'!$F$2:$F$953,$H7&amp;"")&amp;"+"&amp;SUMIFS('Исходные данные'!$J$2:$J$953,'Исходные данные'!$D$2:$D$953,AA$3,'Исходные данные'!$F$2:$F$953,$H7&amp;"")&amp;"="&amp;(SUMIFS('Исходные данные'!$I$2:$I$953,'Исходные данные'!$D$2:$D$953,AA$3,'Исходные данные'!$F$2:$F$953,$H7&amp;"")+SUMIFS('Исходные данные'!$J$2:$J$953,'Исходные данные'!$D$2:$D$953,AA$3,'Исходные данные'!$F$2:$F$953,$H7&amp;"")))))</f>
        <v/>
      </c>
      <c r="AB7" s="37" t="n"/>
      <c r="AC7" s="36">
        <f>IF(SUMIFS('Исходные данные'!$I$2:$I$953,'Исходные данные'!$D$2:$D$953,AC$3,'Исходные данные'!$F$2:$F$953,$H7&amp;"")+SUMIFS('Исходные данные'!$J$2:$J$953,'Исходные данные'!$D$2:$D$953,AC$3,'Исходные данные'!$F$2:$F$953,$H7&amp;"")=0,"",IF(SUMIFS('Исходные данные'!$J$2:$J$953,'Исходные данные'!$D$2:$D$953,AC$3,'Исходные данные'!$F$2:$F$953,$H7&amp;"")=0,SUMIFS('Исходные данные'!$I$2:$I$953,'Исходные данные'!$D$2:$D$953,AC$3,'Исходные данные'!$F$2:$F$953,$H7&amp;""),IF(SUMIFS('Исходные данные'!$I$2:$I$953,'Исходные данные'!$D$2:$D$953,AC$3,'Исходные данные'!$F$2:$F$953,$H7&amp;"")=0,"0+"&amp;SUMIFS('Исходные данные'!$J$2:$J$953,'Исходные данные'!$D$2:$D$953,AC$3,'Исходные данные'!$F$2:$F$953,$H7&amp;"")&amp;"="&amp;SUMIFS('Исходные данные'!$J$2:$J$953,'Исходные данные'!$D$2:$D$953,AC$3,'Исходные данные'!$F$2:$F$953,$H7&amp;""),SUMIFS('Исходные данные'!$I$2:$I$953,'Исходные данные'!$D$2:$D$953,AC$3,'Исходные данные'!$F$2:$F$953,$H7&amp;"")&amp;"+"&amp;SUMIFS('Исходные данные'!$J$2:$J$953,'Исходные данные'!$D$2:$D$953,AC$3,'Исходные данные'!$F$2:$F$953,$H7&amp;"")&amp;"="&amp;(SUMIFS('Исходные данные'!$I$2:$I$953,'Исходные данные'!$D$2:$D$953,AC$3,'Исходные данные'!$F$2:$F$953,$H7&amp;"")+SUMIFS('Исходные данные'!$J$2:$J$953,'Исходные данные'!$D$2:$D$953,AC$3,'Исходные данные'!$F$2:$F$953,$H7&amp;"")))))</f>
        <v/>
      </c>
      <c r="AD7" s="37">
        <f>IF(SUMIFS('Исходные данные'!$I$2:$I$953,'Исходные данные'!$D$2:$D$953,AD$3,'Исходные данные'!$F$2:$F$953,$H7&amp;"")+SUMIFS('Исходные данные'!$J$2:$J$953,'Исходные данные'!$D$2:$D$953,AD$3,'Исходные данные'!$F$2:$F$953,$H7&amp;"")=0,"",IF(SUMIFS('Исходные данные'!$J$2:$J$953,'Исходные данные'!$D$2:$D$953,AD$3,'Исходные данные'!$F$2:$F$953,$H7&amp;"")=0,SUMIFS('Исходные данные'!$I$2:$I$953,'Исходные данные'!$D$2:$D$953,AD$3,'Исходные данные'!$F$2:$F$953,$H7&amp;""),IF(SUMIFS('Исходные данные'!$I$2:$I$953,'Исходные данные'!$D$2:$D$953,AD$3,'Исходные данные'!$F$2:$F$953,$H7&amp;"")=0,"0+"&amp;SUMIFS('Исходные данные'!$J$2:$J$953,'Исходные данные'!$D$2:$D$953,AD$3,'Исходные данные'!$F$2:$F$953,$H7&amp;"")&amp;"="&amp;SUMIFS('Исходные данные'!$J$2:$J$953,'Исходные данные'!$D$2:$D$953,AD$3,'Исходные данные'!$F$2:$F$953,$H7&amp;""),SUMIFS('Исходные данные'!$I$2:$I$953,'Исходные данные'!$D$2:$D$953,AD$3,'Исходные данные'!$F$2:$F$953,$H7&amp;"")&amp;"+"&amp;SUMIFS('Исходные данные'!$J$2:$J$953,'Исходные данные'!$D$2:$D$953,AD$3,'Исходные данные'!$F$2:$F$953,$H7&amp;"")&amp;"="&amp;(SUMIFS('Исходные данные'!$I$2:$I$953,'Исходные данные'!$D$2:$D$953,AD$3,'Исходные данные'!$F$2:$F$953,$H7&amp;"")+SUMIFS('Исходные данные'!$J$2:$J$953,'Исходные данные'!$D$2:$D$953,AD$3,'Исходные данные'!$F$2:$F$953,$H7&amp;"")))))</f>
        <v/>
      </c>
    </row>
    <row r="8" ht="25.5" customHeight="1">
      <c r="A8" s="34" t="n">
        <v>6</v>
      </c>
      <c r="B8" s="95" t="n"/>
      <c r="C8" s="117" t="n"/>
      <c r="D8" s="118" t="n"/>
      <c r="E8" s="117" t="n"/>
      <c r="F8" s="117" t="n"/>
      <c r="G8" s="101" t="n"/>
      <c r="H8" s="56" t="n"/>
      <c r="I8" s="41" t="n"/>
      <c r="J8" s="73" t="n"/>
      <c r="K8" s="67" t="n"/>
      <c r="L8" s="85" t="n"/>
      <c r="M8" s="79" t="n"/>
      <c r="N8" s="79" t="n"/>
      <c r="O8" s="42">
        <f>IF(SUMIFS('Исходные данные'!$I$2:$I$953,'Исходные данные'!$D$2:$D$953,O$3,'Исходные данные'!$F$2:$F$953,$H9&amp;"",'Исходные данные'!$L$2:$L$953,"УТТ")+SUMIFS('Исходные данные'!$J$2:$J$953,'Исходные данные'!$D$2:$D$953,O$3,'Исходные данные'!$F$2:$F$953,$H9&amp;"",'Исходные данные'!$L$2:$L$953,"УТТ")=0,"","утт-"&amp;(SUMIFS('Исходные данные'!$I$2:$I$953,'Исходные данные'!$D$2:$D$953,O$3,'Исходные данные'!$F$2:$F$953,$H9&amp;"",'Исходные данные'!$L$2:$L$953,"УТТ")+SUMIFS('Исходные данные'!$J$2:$J$953,'Исходные данные'!$D$2:$D$953,O$3,'Исходные данные'!$F$2:$F$953,$H9&amp;"",'Исходные данные'!$L$2:$L$953,"УТТ")))</f>
        <v/>
      </c>
      <c r="P8" s="43">
        <f>IF(SUMIFS('Исходные данные'!$I$2:$I$953,'Исходные данные'!$D$2:$D$953,P$3,'Исходные данные'!$F$2:$F$953,$H9&amp;"",'Исходные данные'!$L$2:$L$953,"УТТ")+SUMIFS('Исходные данные'!$J$2:$J$953,'Исходные данные'!$D$2:$D$953,P$3,'Исходные данные'!$F$2:$F$953,$H9&amp;"",'Исходные данные'!$L$2:$L$953,"УТТ")=0,"","утт-"&amp;(SUMIFS('Исходные данные'!$I$2:$I$953,'Исходные данные'!$D$2:$D$953,P$3,'Исходные данные'!$F$2:$F$953,$H9&amp;"",'Исходные данные'!$L$2:$L$953,"УТТ")+SUMIFS('Исходные данные'!$J$2:$J$953,'Исходные данные'!$D$2:$D$953,P$3,'Исходные данные'!$F$2:$F$953,$H9&amp;"",'Исходные данные'!$L$2:$L$953,"УТТ")))</f>
        <v/>
      </c>
      <c r="Q8" s="42">
        <f>IF(SUMIFS('Исходные данные'!$I$2:$I$953,'Исходные данные'!$D$2:$D$953,Q$3,'Исходные данные'!$F$2:$F$953,$H9&amp;"",'Исходные данные'!$L$2:$L$953,"УТТ")+SUMIFS('Исходные данные'!$J$2:$J$953,'Исходные данные'!$D$2:$D$953,Q$3,'Исходные данные'!$F$2:$F$953,$H9&amp;"",'Исходные данные'!$L$2:$L$953,"УТТ")=0,"","утт-"&amp;(SUMIFS('Исходные данные'!$I$2:$I$953,'Исходные данные'!$D$2:$D$953,Q$3,'Исходные данные'!$F$2:$F$953,$H9&amp;"",'Исходные данные'!$L$2:$L$953,"УТТ")+SUMIFS('Исходные данные'!$J$2:$J$953,'Исходные данные'!$D$2:$D$953,Q$3,'Исходные данные'!$F$2:$F$953,$H9&amp;"",'Исходные данные'!$L$2:$L$953,"УТТ")))</f>
        <v/>
      </c>
      <c r="R8" s="44">
        <f>IF(SUMIFS('Исходные данные'!$I$2:$I$953,'Исходные данные'!$D$2:$D$953,R$3,'Исходные данные'!$F$2:$F$953,$H9&amp;"",'Исходные данные'!$L$2:$L$953,"УТТ")+SUMIFS('Исходные данные'!$J$2:$J$953,'Исходные данные'!$D$2:$D$953,R$3,'Исходные данные'!$F$2:$F$953,$H9&amp;"",'Исходные данные'!$L$2:$L$953,"УТТ")=0,"","утт-"&amp;(SUMIFS('Исходные данные'!$I$2:$I$953,'Исходные данные'!$D$2:$D$953,R$3,'Исходные данные'!$F$2:$F$953,$H9&amp;"",'Исходные данные'!$L$2:$L$953,"УТТ")+SUMIFS('Исходные данные'!$J$2:$J$953,'Исходные данные'!$D$2:$D$953,R$3,'Исходные данные'!$F$2:$F$953,$H9&amp;"",'Исходные данные'!$L$2:$L$953,"УТТ")))</f>
        <v/>
      </c>
      <c r="S8" s="43">
        <f>IF(SUMIFS('Исходные данные'!$I$2:$I$953,'Исходные данные'!$D$2:$D$953,S$3,'Исходные данные'!$F$2:$F$953,$H9&amp;"",'Исходные данные'!$L$2:$L$953,"УТТ")+SUMIFS('Исходные данные'!$J$2:$J$953,'Исходные данные'!$D$2:$D$953,S$3,'Исходные данные'!$F$2:$F$953,$H9&amp;"",'Исходные данные'!$L$2:$L$953,"УТТ")=0,"","утт-"&amp;(SUMIFS('Исходные данные'!$I$2:$I$953,'Исходные данные'!$D$2:$D$953,S$3,'Исходные данные'!$F$2:$F$953,$H9&amp;"",'Исходные данные'!$L$2:$L$953,"УТТ")+SUMIFS('Исходные данные'!$J$2:$J$953,'Исходные данные'!$D$2:$D$953,S$3,'Исходные данные'!$F$2:$F$953,$H9&amp;"",'Исходные данные'!$L$2:$L$953,"УТТ")))</f>
        <v/>
      </c>
      <c r="T8" s="42">
        <f>IF(SUMIFS('Исходные данные'!$I$2:$I$953,'Исходные данные'!$D$2:$D$953,T$3,'Исходные данные'!$F$2:$F$953,$H9&amp;"",'Исходные данные'!$L$2:$L$953,"УТТ")+SUMIFS('Исходные данные'!$J$2:$J$953,'Исходные данные'!$D$2:$D$953,T$3,'Исходные данные'!$F$2:$F$953,$H9&amp;"",'Исходные данные'!$L$2:$L$953,"УТТ")=0,"","утт-"&amp;(SUMIFS('Исходные данные'!$I$2:$I$953,'Исходные данные'!$D$2:$D$953,T$3,'Исходные данные'!$F$2:$F$953,$H9&amp;"",'Исходные данные'!$L$2:$L$953,"УТТ")+SUMIFS('Исходные данные'!$J$2:$J$953,'Исходные данные'!$D$2:$D$953,T$3,'Исходные данные'!$F$2:$F$953,$H9&amp;"",'Исходные данные'!$L$2:$L$953,"УТТ")))</f>
        <v/>
      </c>
      <c r="U8" s="43">
        <f>IF(SUMIFS('Исходные данные'!$I$2:$I$953,'Исходные данные'!$D$2:$D$953,U$3,'Исходные данные'!$F$2:$F$953,$H9&amp;"",'Исходные данные'!$L$2:$L$953,"УТТ")+SUMIFS('Исходные данные'!$J$2:$J$953,'Исходные данные'!$D$2:$D$953,U$3,'Исходные данные'!$F$2:$F$953,$H9&amp;"",'Исходные данные'!$L$2:$L$953,"УТТ")=0,"","утт-"&amp;(SUMIFS('Исходные данные'!$I$2:$I$953,'Исходные данные'!$D$2:$D$953,U$3,'Исходные данные'!$F$2:$F$953,$H9&amp;"",'Исходные данные'!$L$2:$L$953,"УТТ")+SUMIFS('Исходные данные'!$J$2:$J$953,'Исходные данные'!$D$2:$D$953,U$3,'Исходные данные'!$F$2:$F$953,$H9&amp;"",'Исходные данные'!$L$2:$L$953,"УТТ")))</f>
        <v/>
      </c>
      <c r="V8" s="42">
        <f>IF(SUMIFS('Исходные данные'!$I$2:$I$953,'Исходные данные'!$D$2:$D$953,V$3,'Исходные данные'!$F$2:$F$953,$H9&amp;"",'Исходные данные'!$L$2:$L$953,"УТТ")+SUMIFS('Исходные данные'!$J$2:$J$953,'Исходные данные'!$D$2:$D$953,V$3,'Исходные данные'!$F$2:$F$953,$H9&amp;"",'Исходные данные'!$L$2:$L$953,"УТТ")=0,"","утт-"&amp;(SUMIFS('Исходные данные'!$I$2:$I$953,'Исходные данные'!$D$2:$D$953,V$3,'Исходные данные'!$F$2:$F$953,$H9&amp;"",'Исходные данные'!$L$2:$L$953,"УТТ")+SUMIFS('Исходные данные'!$J$2:$J$953,'Исходные данные'!$D$2:$D$953,V$3,'Исходные данные'!$F$2:$F$953,$H9&amp;"",'Исходные данные'!$L$2:$L$953,"УТТ")))</f>
        <v/>
      </c>
      <c r="W8" s="43">
        <f>IF(SUMIFS('Исходные данные'!$I$2:$I$953,'Исходные данные'!$D$2:$D$953,W$3,'Исходные данные'!$F$2:$F$953,$H9&amp;"",'Исходные данные'!$L$2:$L$953,"УТТ")+SUMIFS('Исходные данные'!$J$2:$J$953,'Исходные данные'!$D$2:$D$953,W$3,'Исходные данные'!$F$2:$F$953,$H9&amp;"",'Исходные данные'!$L$2:$L$953,"УТТ")=0,"","утт-"&amp;(SUMIFS('Исходные данные'!$I$2:$I$953,'Исходные данные'!$D$2:$D$953,W$3,'Исходные данные'!$F$2:$F$953,$H9&amp;"",'Исходные данные'!$L$2:$L$953,"УТТ")+SUMIFS('Исходные данные'!$J$2:$J$953,'Исходные данные'!$D$2:$D$953,W$3,'Исходные данные'!$F$2:$F$953,$H9&amp;"",'Исходные данные'!$L$2:$L$953,"УТТ")))</f>
        <v/>
      </c>
      <c r="X8" s="43">
        <f>IF(SUMIFS('Исходные данные'!$I$2:$I$953,'Исходные данные'!$D$2:$D$953,X$3,'Исходные данные'!$F$2:$F$953,$H9&amp;"",'Исходные данные'!$L$2:$L$953,"УТТ")+SUMIFS('Исходные данные'!$J$2:$J$953,'Исходные данные'!$D$2:$D$953,X$3,'Исходные данные'!$F$2:$F$953,$H9&amp;"",'Исходные данные'!$L$2:$L$953,"УТТ")=0,"","утт-"&amp;(SUMIFS('Исходные данные'!$I$2:$I$953,'Исходные данные'!$D$2:$D$953,X$3,'Исходные данные'!$F$2:$F$953,$H9&amp;"",'Исходные данные'!$L$2:$L$953,"УТТ")+SUMIFS('Исходные данные'!$J$2:$J$953,'Исходные данные'!$D$2:$D$953,X$3,'Исходные данные'!$F$2:$F$953,$H9&amp;"",'Исходные данные'!$L$2:$L$953,"УТТ")))</f>
        <v/>
      </c>
      <c r="Y8" s="45">
        <f>IF(SUMIFS('Исходные данные'!$I$2:$I$953,'Исходные данные'!$D$2:$D$953,Y$3,'Исходные данные'!$F$2:$F$953,$H9&amp;"",'Исходные данные'!$L$2:$L$953,"УТТ")+SUMIFS('Исходные данные'!$J$2:$J$953,'Исходные данные'!$D$2:$D$953,Y$3,'Исходные данные'!$F$2:$F$953,$H9&amp;"",'Исходные данные'!$L$2:$L$953,"УТТ")=0,"","утт-"&amp;(SUMIFS('Исходные данные'!$I$2:$I$953,'Исходные данные'!$D$2:$D$953,Y$3,'Исходные данные'!$F$2:$F$953,$H9&amp;"",'Исходные данные'!$L$2:$L$953,"УТТ")+SUMIFS('Исходные данные'!$J$2:$J$953,'Исходные данные'!$D$2:$D$953,Y$3,'Исходные данные'!$F$2:$F$953,$H9&amp;"",'Исходные данные'!$L$2:$L$953,"УТТ")))</f>
        <v/>
      </c>
      <c r="Z8" s="42">
        <f>IF(SUMIFS('Исходные данные'!$I$2:$I$953,'Исходные данные'!$D$2:$D$953,Z$3,'Исходные данные'!$F$2:$F$953,$H9&amp;"",'Исходные данные'!$L$2:$L$953,"УТТ")+SUMIFS('Исходные данные'!$J$2:$J$953,'Исходные данные'!$D$2:$D$953,Z$3,'Исходные данные'!$F$2:$F$953,$H9&amp;"",'Исходные данные'!$L$2:$L$953,"УТТ")=0,"","утт-"&amp;(SUMIFS('Исходные данные'!$I$2:$I$953,'Исходные данные'!$D$2:$D$953,Z$3,'Исходные данные'!$F$2:$F$953,$H9&amp;"",'Исходные данные'!$L$2:$L$953,"УТТ")+SUMIFS('Исходные данные'!$J$2:$J$953,'Исходные данные'!$D$2:$D$953,Z$3,'Исходные данные'!$F$2:$F$953,$H9&amp;"",'Исходные данные'!$L$2:$L$953,"УТТ")))</f>
        <v/>
      </c>
      <c r="AA8" s="43">
        <f>IF(SUMIFS('Исходные данные'!$I$2:$I$953,'Исходные данные'!$D$2:$D$953,AA$3,'Исходные данные'!$F$2:$F$953,$H9&amp;"",'Исходные данные'!$L$2:$L$953,"УТТ")+SUMIFS('Исходные данные'!$J$2:$J$953,'Исходные данные'!$D$2:$D$953,AA$3,'Исходные данные'!$F$2:$F$953,$H9&amp;"",'Исходные данные'!$L$2:$L$953,"УТТ")=0,"","утт-"&amp;(SUMIFS('Исходные данные'!$I$2:$I$953,'Исходные данные'!$D$2:$D$953,AA$3,'Исходные данные'!$F$2:$F$953,$H9&amp;"",'Исходные данные'!$L$2:$L$953,"УТТ")+SUMIFS('Исходные данные'!$J$2:$J$953,'Исходные данные'!$D$2:$D$953,AA$3,'Исходные данные'!$F$2:$F$953,$H9&amp;"",'Исходные данные'!$L$2:$L$953,"УТТ")))</f>
        <v/>
      </c>
      <c r="AB8" s="43" t="n"/>
      <c r="AC8" s="42">
        <f>IF(SUMIFS('Исходные данные'!$I$2:$I$953,'Исходные данные'!$D$2:$D$953,AC$3,'Исходные данные'!$F$2:$F$953,$H9&amp;"",'Исходные данные'!$L$2:$L$953,"УТТ")+SUMIFS('Исходные данные'!$J$2:$J$953,'Исходные данные'!$D$2:$D$953,AC$3,'Исходные данные'!$F$2:$F$953,$H9&amp;"",'Исходные данные'!$L$2:$L$953,"УТТ")=0,"","утт-"&amp;(SUMIFS('Исходные данные'!$I$2:$I$953,'Исходные данные'!$D$2:$D$953,AC$3,'Исходные данные'!$F$2:$F$953,$H9&amp;"",'Исходные данные'!$L$2:$L$953,"УТТ")+SUMIFS('Исходные данные'!$J$2:$J$953,'Исходные данные'!$D$2:$D$953,AC$3,'Исходные данные'!$F$2:$F$953,$H9&amp;"",'Исходные данные'!$L$2:$L$953,"УТТ")))</f>
        <v/>
      </c>
      <c r="AD8" s="43">
        <f>IF(SUMIFS('Исходные данные'!$I$2:$I$953,'Исходные данные'!$D$2:$D$953,AD$3,'Исходные данные'!$F$2:$F$953,$H9&amp;"",'Исходные данные'!$L$2:$L$953,"УТТ")+SUMIFS('Исходные данные'!$J$2:$J$953,'Исходные данные'!$D$2:$D$953,AD$3,'Исходные данные'!$F$2:$F$953,$H9&amp;"",'Исходные данные'!$L$2:$L$953,"УТТ")=0,"","утт-"&amp;(SUMIFS('Исходные данные'!$I$2:$I$953,'Исходные данные'!$D$2:$D$953,AD$3,'Исходные данные'!$F$2:$F$953,$H9&amp;"",'Исходные данные'!$L$2:$L$953,"УТТ")+SUMIFS('Исходные данные'!$J$2:$J$953,'Исходные данные'!$D$2:$D$953,AD$3,'Исходные данные'!$F$2:$F$953,$H9&amp;"",'Исходные данные'!$L$2:$L$953,"УТТ")))</f>
        <v/>
      </c>
    </row>
    <row r="9" ht="25.5" customHeight="1">
      <c r="A9" s="26" t="n">
        <v>7</v>
      </c>
      <c r="B9" s="95" t="n"/>
      <c r="C9" s="117" t="n"/>
      <c r="D9" s="118" t="n"/>
      <c r="E9" s="117" t="n"/>
      <c r="F9" s="117" t="n"/>
      <c r="G9" s="101" t="n"/>
      <c r="H9" s="56" t="n">
        <v>49</v>
      </c>
      <c r="I9" s="35" t="inlineStr">
        <is>
          <t>Вакуум уст.</t>
        </is>
      </c>
      <c r="J9" s="72">
        <f>IFERROR(INDEX('Выход ТС'!$C:$C,MATCH($H9&amp;"",'Выход ТС'!$A:$A,0)),"")</f>
        <v/>
      </c>
      <c r="K9" s="66">
        <f>IFERROR(INDEX('Выход ТС'!$D:$D,MATCH($H9&amp;"",'Выход ТС'!$A:$A,0)),"")</f>
        <v/>
      </c>
      <c r="L9" s="84">
        <f>IFERROR(INDEX('Выход ТС'!$E:$E,MATCH($H9&amp;"",'Выход ТС'!$A:$A,0)),"")</f>
        <v/>
      </c>
      <c r="M9" s="78">
        <f>IFERROR(IF(INDEX('Выход ТС'!$F:$F,MATCH($H9&amp;"",'Выход ТС'!$A:$A,0))=0,"",INDEX('Выход ТС'!$F:$F,MATCH($H9&amp;"",'Выход ТС'!$A:$A,0))),"")</f>
        <v/>
      </c>
      <c r="N9" s="78">
        <f>IFERROR(IF(INDEX('Выход ТС'!$G:$G,MATCH($H9&amp;"",'Выход ТС'!$A:$A,0))=0,"",INDEX('Выход ТС'!$G:$G,MATCH($H9&amp;"",'Выход ТС'!$A:$A,0))),"")</f>
        <v/>
      </c>
      <c r="O9" s="39">
        <f>IF(SUMIFS('Исходные данные'!$I$2:$I$953,'Исходные данные'!$D$2:$D$953,O$3,'Исходные данные'!$F$2:$F$953,$H9&amp;"")+SUMIFS('Исходные данные'!$J$2:$J$953,'Исходные данные'!$D$2:$D$953,O$3,'Исходные данные'!$F$2:$F$953,$H9&amp;"")=0,"",IF(SUMIFS('Исходные данные'!$J$2:$J$953,'Исходные данные'!$D$2:$D$953,O$3,'Исходные данные'!$F$2:$F$953,$H9&amp;"")=0,SUMIFS('Исходные данные'!$I$2:$I$953,'Исходные данные'!$D$2:$D$953,O$3,'Исходные данные'!$F$2:$F$953,$H9&amp;""),IF(SUMIFS('Исходные данные'!$I$2:$I$953,'Исходные данные'!$D$2:$D$953,O$3,'Исходные данные'!$F$2:$F$953,$H9&amp;"")=0,"0+"&amp;SUMIFS('Исходные данные'!$J$2:$J$953,'Исходные данные'!$D$2:$D$953,O$3,'Исходные данные'!$F$2:$F$953,$H9&amp;"")&amp;"="&amp;SUMIFS('Исходные данные'!$J$2:$J$953,'Исходные данные'!$D$2:$D$953,O$3,'Исходные данные'!$F$2:$F$953,$H9&amp;""),SUMIFS('Исходные данные'!$I$2:$I$953,'Исходные данные'!$D$2:$D$953,O$3,'Исходные данные'!$F$2:$F$953,$H9&amp;"")&amp;"+"&amp;SUMIFS('Исходные данные'!$J$2:$J$953,'Исходные данные'!$D$2:$D$953,O$3,'Исходные данные'!$F$2:$F$953,$H9&amp;"")&amp;"="&amp;(SUMIFS('Исходные данные'!$I$2:$I$953,'Исходные данные'!$D$2:$D$953,O$3,'Исходные данные'!$F$2:$F$953,$H9&amp;"")+SUMIFS('Исходные данные'!$J$2:$J$953,'Исходные данные'!$D$2:$D$953,O$3,'Исходные данные'!$F$2:$F$953,$H9&amp;"")))))</f>
        <v/>
      </c>
      <c r="P9" s="37">
        <f>IF(SUMIFS('Исходные данные'!$I$2:$I$953,'Исходные данные'!$D$2:$D$953,P$3,'Исходные данные'!$F$2:$F$953,$H9&amp;"")+SUMIFS('Исходные данные'!$J$2:$J$953,'Исходные данные'!$D$2:$D$953,P$3,'Исходные данные'!$F$2:$F$953,$H9&amp;"")=0,"",IF(SUMIFS('Исходные данные'!$J$2:$J$953,'Исходные данные'!$D$2:$D$953,P$3,'Исходные данные'!$F$2:$F$953,$H9&amp;"")=0,SUMIFS('Исходные данные'!$I$2:$I$953,'Исходные данные'!$D$2:$D$953,P$3,'Исходные данные'!$F$2:$F$953,$H9&amp;""),IF(SUMIFS('Исходные данные'!$I$2:$I$953,'Исходные данные'!$D$2:$D$953,P$3,'Исходные данные'!$F$2:$F$953,$H9&amp;"")=0,"0+"&amp;SUMIFS('Исходные данные'!$J$2:$J$953,'Исходные данные'!$D$2:$D$953,P$3,'Исходные данные'!$F$2:$F$953,$H9&amp;"")&amp;"="&amp;SUMIFS('Исходные данные'!$J$2:$J$953,'Исходные данные'!$D$2:$D$953,P$3,'Исходные данные'!$F$2:$F$953,$H9&amp;""),SUMIFS('Исходные данные'!$I$2:$I$953,'Исходные данные'!$D$2:$D$953,P$3,'Исходные данные'!$F$2:$F$953,$H9&amp;"")&amp;"+"&amp;SUMIFS('Исходные данные'!$J$2:$J$953,'Исходные данные'!$D$2:$D$953,P$3,'Исходные данные'!$F$2:$F$953,$H9&amp;"")&amp;"="&amp;(SUMIFS('Исходные данные'!$I$2:$I$953,'Исходные данные'!$D$2:$D$953,P$3,'Исходные данные'!$F$2:$F$953,$H9&amp;"")+SUMIFS('Исходные данные'!$J$2:$J$953,'Исходные данные'!$D$2:$D$953,P$3,'Исходные данные'!$F$2:$F$953,$H9&amp;"")))))</f>
        <v/>
      </c>
      <c r="Q9" s="37">
        <f>IF(SUMIFS('Исходные данные'!$I$2:$I$953,'Исходные данные'!$D$2:$D$953,Q$3,'Исходные данные'!$F$2:$F$953,$H9&amp;"")+SUMIFS('Исходные данные'!$J$2:$J$953,'Исходные данные'!$D$2:$D$953,Q$3,'Исходные данные'!$F$2:$F$953,$H9&amp;"")=0,"",IF(SUMIFS('Исходные данные'!$J$2:$J$953,'Исходные данные'!$D$2:$D$953,Q$3,'Исходные данные'!$F$2:$F$953,$H9&amp;"")=0,SUMIFS('Исходные данные'!$I$2:$I$953,'Исходные данные'!$D$2:$D$953,Q$3,'Исходные данные'!$F$2:$F$953,$H9&amp;""),IF(SUMIFS('Исходные данные'!$I$2:$I$953,'Исходные данные'!$D$2:$D$953,Q$3,'Исходные данные'!$F$2:$F$953,$H9&amp;"")=0,"0+"&amp;SUMIFS('Исходные данные'!$J$2:$J$953,'Исходные данные'!$D$2:$D$953,Q$3,'Исходные данные'!$F$2:$F$953,$H9&amp;"")&amp;"="&amp;SUMIFS('Исходные данные'!$J$2:$J$953,'Исходные данные'!$D$2:$D$953,Q$3,'Исходные данные'!$F$2:$F$953,$H9&amp;""),SUMIFS('Исходные данные'!$I$2:$I$953,'Исходные данные'!$D$2:$D$953,Q$3,'Исходные данные'!$F$2:$F$953,$H9&amp;"")&amp;"+"&amp;SUMIFS('Исходные данные'!$J$2:$J$953,'Исходные данные'!$D$2:$D$953,Q$3,'Исходные данные'!$F$2:$F$953,$H9&amp;"")&amp;"="&amp;(SUMIFS('Исходные данные'!$I$2:$I$953,'Исходные данные'!$D$2:$D$953,Q$3,'Исходные данные'!$F$2:$F$953,$H9&amp;"")+SUMIFS('Исходные данные'!$J$2:$J$953,'Исходные данные'!$D$2:$D$953,Q$3,'Исходные данные'!$F$2:$F$953,$H9&amp;"")))))</f>
        <v/>
      </c>
      <c r="R9" s="38">
        <f>IF(SUMIFS('Исходные данные'!$I$2:$I$953,'Исходные данные'!$D$2:$D$953,R$3,'Исходные данные'!$F$2:$F$953,$H9&amp;"")+SUMIFS('Исходные данные'!$J$2:$J$953,'Исходные данные'!$D$2:$D$953,R$3,'Исходные данные'!$F$2:$F$953,$H9&amp;"")=0,"",IF(SUMIFS('Исходные данные'!$J$2:$J$953,'Исходные данные'!$D$2:$D$953,R$3,'Исходные данные'!$F$2:$F$953,$H9&amp;"")=0,SUMIFS('Исходные данные'!$I$2:$I$953,'Исходные данные'!$D$2:$D$953,R$3,'Исходные данные'!$F$2:$F$953,$H9&amp;""),IF(SUMIFS('Исходные данные'!$I$2:$I$953,'Исходные данные'!$D$2:$D$953,R$3,'Исходные данные'!$F$2:$F$953,$H9&amp;"")=0,"0+"&amp;SUMIFS('Исходные данные'!$J$2:$J$953,'Исходные данные'!$D$2:$D$953,R$3,'Исходные данные'!$F$2:$F$953,$H9&amp;"")&amp;"="&amp;SUMIFS('Исходные данные'!$J$2:$J$953,'Исходные данные'!$D$2:$D$953,R$3,'Исходные данные'!$F$2:$F$953,$H9&amp;""),SUMIFS('Исходные данные'!$I$2:$I$953,'Исходные данные'!$D$2:$D$953,R$3,'Исходные данные'!$F$2:$F$953,$H9&amp;"")&amp;"+"&amp;SUMIFS('Исходные данные'!$J$2:$J$953,'Исходные данные'!$D$2:$D$953,R$3,'Исходные данные'!$F$2:$F$953,$H9&amp;"")&amp;"="&amp;(SUMIFS('Исходные данные'!$I$2:$I$953,'Исходные данные'!$D$2:$D$953,R$3,'Исходные данные'!$F$2:$F$953,$H9&amp;"")+SUMIFS('Исходные данные'!$J$2:$J$953,'Исходные данные'!$D$2:$D$953,R$3,'Исходные данные'!$F$2:$F$953,$H9&amp;"")))))</f>
        <v/>
      </c>
      <c r="S9" s="37">
        <f>IF(SUMIFS('Исходные данные'!$I$2:$I$953,'Исходные данные'!$D$2:$D$953,S$3,'Исходные данные'!$F$2:$F$953,$H9&amp;"")+SUMIFS('Исходные данные'!$J$2:$J$953,'Исходные данные'!$D$2:$D$953,S$3,'Исходные данные'!$F$2:$F$953,$H9&amp;"")=0,"",IF(SUMIFS('Исходные данные'!$J$2:$J$953,'Исходные данные'!$D$2:$D$953,S$3,'Исходные данные'!$F$2:$F$953,$H9&amp;"")=0,SUMIFS('Исходные данные'!$I$2:$I$953,'Исходные данные'!$D$2:$D$953,S$3,'Исходные данные'!$F$2:$F$953,$H9&amp;""),IF(SUMIFS('Исходные данные'!$I$2:$I$953,'Исходные данные'!$D$2:$D$953,S$3,'Исходные данные'!$F$2:$F$953,$H9&amp;"")=0,"0+"&amp;SUMIFS('Исходные данные'!$J$2:$J$953,'Исходные данные'!$D$2:$D$953,S$3,'Исходные данные'!$F$2:$F$953,$H9&amp;"")&amp;"="&amp;SUMIFS('Исходные данные'!$J$2:$J$953,'Исходные данные'!$D$2:$D$953,S$3,'Исходные данные'!$F$2:$F$953,$H9&amp;""),SUMIFS('Исходные данные'!$I$2:$I$953,'Исходные данные'!$D$2:$D$953,S$3,'Исходные данные'!$F$2:$F$953,$H9&amp;"")&amp;"+"&amp;SUMIFS('Исходные данные'!$J$2:$J$953,'Исходные данные'!$D$2:$D$953,S$3,'Исходные данные'!$F$2:$F$953,$H9&amp;"")&amp;"="&amp;(SUMIFS('Исходные данные'!$I$2:$I$953,'Исходные данные'!$D$2:$D$953,S$3,'Исходные данные'!$F$2:$F$953,$H9&amp;"")+SUMIFS('Исходные данные'!$J$2:$J$953,'Исходные данные'!$D$2:$D$953,S$3,'Исходные данные'!$F$2:$F$953,$H9&amp;"")))))</f>
        <v/>
      </c>
      <c r="T9" s="36">
        <f>IF(SUMIFS('Исходные данные'!$I$2:$I$953,'Исходные данные'!$D$2:$D$953,T$3,'Исходные данные'!$F$2:$F$953,$H9&amp;"")+SUMIFS('Исходные данные'!$J$2:$J$953,'Исходные данные'!$D$2:$D$953,T$3,'Исходные данные'!$F$2:$F$953,$H9&amp;"")=0,"",IF(SUMIFS('Исходные данные'!$J$2:$J$953,'Исходные данные'!$D$2:$D$953,T$3,'Исходные данные'!$F$2:$F$953,$H9&amp;"")=0,SUMIFS('Исходные данные'!$I$2:$I$953,'Исходные данные'!$D$2:$D$953,T$3,'Исходные данные'!$F$2:$F$953,$H9&amp;""),IF(SUMIFS('Исходные данные'!$I$2:$I$953,'Исходные данные'!$D$2:$D$953,T$3,'Исходные данные'!$F$2:$F$953,$H9&amp;"")=0,"0+"&amp;SUMIFS('Исходные данные'!$J$2:$J$953,'Исходные данные'!$D$2:$D$953,T$3,'Исходные данные'!$F$2:$F$953,$H9&amp;"")&amp;"="&amp;SUMIFS('Исходные данные'!$J$2:$J$953,'Исходные данные'!$D$2:$D$953,T$3,'Исходные данные'!$F$2:$F$953,$H9&amp;""),SUMIFS('Исходные данные'!$I$2:$I$953,'Исходные данные'!$D$2:$D$953,T$3,'Исходные данные'!$F$2:$F$953,$H9&amp;"")&amp;"+"&amp;SUMIFS('Исходные данные'!$J$2:$J$953,'Исходные данные'!$D$2:$D$953,T$3,'Исходные данные'!$F$2:$F$953,$H9&amp;"")&amp;"="&amp;(SUMIFS('Исходные данные'!$I$2:$I$953,'Исходные данные'!$D$2:$D$953,T$3,'Исходные данные'!$F$2:$F$953,$H9&amp;"")+SUMIFS('Исходные данные'!$J$2:$J$953,'Исходные данные'!$D$2:$D$953,T$3,'Исходные данные'!$F$2:$F$953,$H9&amp;"")))))</f>
        <v/>
      </c>
      <c r="U9" s="37">
        <f>IF(SUMIFS('Исходные данные'!$I$2:$I$953,'Исходные данные'!$D$2:$D$953,U$3,'Исходные данные'!$F$2:$F$953,$H9&amp;"")+SUMIFS('Исходные данные'!$J$2:$J$953,'Исходные данные'!$D$2:$D$953,U$3,'Исходные данные'!$F$2:$F$953,$H9&amp;"")=0,"",IF(SUMIFS('Исходные данные'!$J$2:$J$953,'Исходные данные'!$D$2:$D$953,U$3,'Исходные данные'!$F$2:$F$953,$H9&amp;"")=0,SUMIFS('Исходные данные'!$I$2:$I$953,'Исходные данные'!$D$2:$D$953,U$3,'Исходные данные'!$F$2:$F$953,$H9&amp;""),IF(SUMIFS('Исходные данные'!$I$2:$I$953,'Исходные данные'!$D$2:$D$953,U$3,'Исходные данные'!$F$2:$F$953,$H9&amp;"")=0,"0+"&amp;SUMIFS('Исходные данные'!$J$2:$J$953,'Исходные данные'!$D$2:$D$953,U$3,'Исходные данные'!$F$2:$F$953,$H9&amp;"")&amp;"="&amp;SUMIFS('Исходные данные'!$J$2:$J$953,'Исходные данные'!$D$2:$D$953,U$3,'Исходные данные'!$F$2:$F$953,$H9&amp;""),SUMIFS('Исходные данные'!$I$2:$I$953,'Исходные данные'!$D$2:$D$953,U$3,'Исходные данные'!$F$2:$F$953,$H9&amp;"")&amp;"+"&amp;SUMIFS('Исходные данные'!$J$2:$J$953,'Исходные данные'!$D$2:$D$953,U$3,'Исходные данные'!$F$2:$F$953,$H9&amp;"")&amp;"="&amp;(SUMIFS('Исходные данные'!$I$2:$I$953,'Исходные данные'!$D$2:$D$953,U$3,'Исходные данные'!$F$2:$F$953,$H9&amp;"")+SUMIFS('Исходные данные'!$J$2:$J$953,'Исходные данные'!$D$2:$D$953,U$3,'Исходные данные'!$F$2:$F$953,$H9&amp;"")))))</f>
        <v/>
      </c>
      <c r="V9" s="36">
        <f>IF(SUMIFS('Исходные данные'!$I$2:$I$953,'Исходные данные'!$D$2:$D$953,V$3,'Исходные данные'!$F$2:$F$953,$H9&amp;"")+SUMIFS('Исходные данные'!$J$2:$J$953,'Исходные данные'!$D$2:$D$953,V$3,'Исходные данные'!$F$2:$F$953,$H9&amp;"")=0,"",IF(SUMIFS('Исходные данные'!$J$2:$J$953,'Исходные данные'!$D$2:$D$953,V$3,'Исходные данные'!$F$2:$F$953,$H9&amp;"")=0,SUMIFS('Исходные данные'!$I$2:$I$953,'Исходные данные'!$D$2:$D$953,V$3,'Исходные данные'!$F$2:$F$953,$H9&amp;""),IF(SUMIFS('Исходные данные'!$I$2:$I$953,'Исходные данные'!$D$2:$D$953,V$3,'Исходные данные'!$F$2:$F$953,$H9&amp;"")=0,"0+"&amp;SUMIFS('Исходные данные'!$J$2:$J$953,'Исходные данные'!$D$2:$D$953,V$3,'Исходные данные'!$F$2:$F$953,$H9&amp;"")&amp;"="&amp;SUMIFS('Исходные данные'!$J$2:$J$953,'Исходные данные'!$D$2:$D$953,V$3,'Исходные данные'!$F$2:$F$953,$H9&amp;""),SUMIFS('Исходные данные'!$I$2:$I$953,'Исходные данные'!$D$2:$D$953,V$3,'Исходные данные'!$F$2:$F$953,$H9&amp;"")&amp;"+"&amp;SUMIFS('Исходные данные'!$J$2:$J$953,'Исходные данные'!$D$2:$D$953,V$3,'Исходные данные'!$F$2:$F$953,$H9&amp;"")&amp;"="&amp;(SUMIFS('Исходные данные'!$I$2:$I$953,'Исходные данные'!$D$2:$D$953,V$3,'Исходные данные'!$F$2:$F$953,$H9&amp;"")+SUMIFS('Исходные данные'!$J$2:$J$953,'Исходные данные'!$D$2:$D$953,V$3,'Исходные данные'!$F$2:$F$953,$H9&amp;"")))))</f>
        <v/>
      </c>
      <c r="W9" s="37">
        <f>IF(SUMIFS('Исходные данные'!$I$2:$I$953,'Исходные данные'!$D$2:$D$953,W$3,'Исходные данные'!$F$2:$F$953,$H9&amp;"")+SUMIFS('Исходные данные'!$J$2:$J$953,'Исходные данные'!$D$2:$D$953,W$3,'Исходные данные'!$F$2:$F$953,$H9&amp;"")=0,"",IF(SUMIFS('Исходные данные'!$J$2:$J$953,'Исходные данные'!$D$2:$D$953,W$3,'Исходные данные'!$F$2:$F$953,$H9&amp;"")=0,SUMIFS('Исходные данные'!$I$2:$I$953,'Исходные данные'!$D$2:$D$953,W$3,'Исходные данные'!$F$2:$F$953,$H9&amp;""),IF(SUMIFS('Исходные данные'!$I$2:$I$953,'Исходные данные'!$D$2:$D$953,W$3,'Исходные данные'!$F$2:$F$953,$H9&amp;"")=0,"0+"&amp;SUMIFS('Исходные данные'!$J$2:$J$953,'Исходные данные'!$D$2:$D$953,W$3,'Исходные данные'!$F$2:$F$953,$H9&amp;"")&amp;"="&amp;SUMIFS('Исходные данные'!$J$2:$J$953,'Исходные данные'!$D$2:$D$953,W$3,'Исходные данные'!$F$2:$F$953,$H9&amp;""),SUMIFS('Исходные данные'!$I$2:$I$953,'Исходные данные'!$D$2:$D$953,W$3,'Исходные данные'!$F$2:$F$953,$H9&amp;"")&amp;"+"&amp;SUMIFS('Исходные данные'!$J$2:$J$953,'Исходные данные'!$D$2:$D$953,W$3,'Исходные данные'!$F$2:$F$953,$H9&amp;"")&amp;"="&amp;(SUMIFS('Исходные данные'!$I$2:$I$953,'Исходные данные'!$D$2:$D$953,W$3,'Исходные данные'!$F$2:$F$953,$H9&amp;"")+SUMIFS('Исходные данные'!$J$2:$J$953,'Исходные данные'!$D$2:$D$953,W$3,'Исходные данные'!$F$2:$F$953,$H9&amp;"")))))</f>
        <v/>
      </c>
      <c r="X9" s="37">
        <f>IF(SUMIFS('Исходные данные'!$I$2:$I$953,'Исходные данные'!$D$2:$D$953,X$3,'Исходные данные'!$F$2:$F$953,$H9&amp;"")+SUMIFS('Исходные данные'!$J$2:$J$953,'Исходные данные'!$D$2:$D$953,X$3,'Исходные данные'!$F$2:$F$953,$H9&amp;"")=0,"",IF(SUMIFS('Исходные данные'!$J$2:$J$953,'Исходные данные'!$D$2:$D$953,X$3,'Исходные данные'!$F$2:$F$953,$H9&amp;"")=0,SUMIFS('Исходные данные'!$I$2:$I$953,'Исходные данные'!$D$2:$D$953,X$3,'Исходные данные'!$F$2:$F$953,$H9&amp;""),IF(SUMIFS('Исходные данные'!$I$2:$I$953,'Исходные данные'!$D$2:$D$953,X$3,'Исходные данные'!$F$2:$F$953,$H9&amp;"")=0,"0+"&amp;SUMIFS('Исходные данные'!$J$2:$J$953,'Исходные данные'!$D$2:$D$953,X$3,'Исходные данные'!$F$2:$F$953,$H9&amp;"")&amp;"="&amp;SUMIFS('Исходные данные'!$J$2:$J$953,'Исходные данные'!$D$2:$D$953,X$3,'Исходные данные'!$F$2:$F$953,$H9&amp;""),SUMIFS('Исходные данные'!$I$2:$I$953,'Исходные данные'!$D$2:$D$953,X$3,'Исходные данные'!$F$2:$F$953,$H9&amp;"")&amp;"+"&amp;SUMIFS('Исходные данные'!$J$2:$J$953,'Исходные данные'!$D$2:$D$953,X$3,'Исходные данные'!$F$2:$F$953,$H9&amp;"")&amp;"="&amp;(SUMIFS('Исходные данные'!$I$2:$I$953,'Исходные данные'!$D$2:$D$953,X$3,'Исходные данные'!$F$2:$F$953,$H9&amp;"")+SUMIFS('Исходные данные'!$J$2:$J$953,'Исходные данные'!$D$2:$D$953,X$3,'Исходные данные'!$F$2:$F$953,$H9&amp;"")))))</f>
        <v/>
      </c>
      <c r="Y9" s="39">
        <f>IF(SUMIFS('Исходные данные'!$I$2:$I$953,'Исходные данные'!$D$2:$D$953,Y$3,'Исходные данные'!$F$2:$F$953,$H9&amp;"")+SUMIFS('Исходные данные'!$J$2:$J$953,'Исходные данные'!$D$2:$D$953,Y$3,'Исходные данные'!$F$2:$F$953,$H9&amp;"")=0,"",IF(SUMIFS('Исходные данные'!$J$2:$J$953,'Исходные данные'!$D$2:$D$953,Y$3,'Исходные данные'!$F$2:$F$953,$H9&amp;"")=0,SUMIFS('Исходные данные'!$I$2:$I$953,'Исходные данные'!$D$2:$D$953,Y$3,'Исходные данные'!$F$2:$F$953,$H9&amp;""),IF(SUMIFS('Исходные данные'!$I$2:$I$953,'Исходные данные'!$D$2:$D$953,Y$3,'Исходные данные'!$F$2:$F$953,$H9&amp;"")=0,"0+"&amp;SUMIFS('Исходные данные'!$J$2:$J$953,'Исходные данные'!$D$2:$D$953,Y$3,'Исходные данные'!$F$2:$F$953,$H9&amp;"")&amp;"="&amp;SUMIFS('Исходные данные'!$J$2:$J$953,'Исходные данные'!$D$2:$D$953,Y$3,'Исходные данные'!$F$2:$F$953,$H9&amp;""),SUMIFS('Исходные данные'!$I$2:$I$953,'Исходные данные'!$D$2:$D$953,Y$3,'Исходные данные'!$F$2:$F$953,$H9&amp;"")&amp;"+"&amp;SUMIFS('Исходные данные'!$J$2:$J$953,'Исходные данные'!$D$2:$D$953,Y$3,'Исходные данные'!$F$2:$F$953,$H9&amp;"")&amp;"="&amp;(SUMIFS('Исходные данные'!$I$2:$I$953,'Исходные данные'!$D$2:$D$953,Y$3,'Исходные данные'!$F$2:$F$953,$H9&amp;"")+SUMIFS('Исходные данные'!$J$2:$J$953,'Исходные данные'!$D$2:$D$953,Y$3,'Исходные данные'!$F$2:$F$953,$H9&amp;"")))))</f>
        <v/>
      </c>
      <c r="Z9" s="36">
        <f>IF(SUMIFS('Исходные данные'!$I$2:$I$953,'Исходные данные'!$D$2:$D$953,Z$3,'Исходные данные'!$F$2:$F$953,$H9&amp;"")+SUMIFS('Исходные данные'!$J$2:$J$953,'Исходные данные'!$D$2:$D$953,Z$3,'Исходные данные'!$F$2:$F$953,$H9&amp;"")=0,"",IF(SUMIFS('Исходные данные'!$J$2:$J$953,'Исходные данные'!$D$2:$D$953,Z$3,'Исходные данные'!$F$2:$F$953,$H9&amp;"")=0,SUMIFS('Исходные данные'!$I$2:$I$953,'Исходные данные'!$D$2:$D$953,Z$3,'Исходные данные'!$F$2:$F$953,$H9&amp;""),IF(SUMIFS('Исходные данные'!$I$2:$I$953,'Исходные данные'!$D$2:$D$953,Z$3,'Исходные данные'!$F$2:$F$953,$H9&amp;"")=0,"0+"&amp;SUMIFS('Исходные данные'!$J$2:$J$953,'Исходные данные'!$D$2:$D$953,Z$3,'Исходные данные'!$F$2:$F$953,$H9&amp;"")&amp;"="&amp;SUMIFS('Исходные данные'!$J$2:$J$953,'Исходные данные'!$D$2:$D$953,Z$3,'Исходные данные'!$F$2:$F$953,$H9&amp;""),SUMIFS('Исходные данные'!$I$2:$I$953,'Исходные данные'!$D$2:$D$953,Z$3,'Исходные данные'!$F$2:$F$953,$H9&amp;"")&amp;"+"&amp;SUMIFS('Исходные данные'!$J$2:$J$953,'Исходные данные'!$D$2:$D$953,Z$3,'Исходные данные'!$F$2:$F$953,$H9&amp;"")&amp;"="&amp;(SUMIFS('Исходные данные'!$I$2:$I$953,'Исходные данные'!$D$2:$D$953,Z$3,'Исходные данные'!$F$2:$F$953,$H9&amp;"")+SUMIFS('Исходные данные'!$J$2:$J$953,'Исходные данные'!$D$2:$D$953,Z$3,'Исходные данные'!$F$2:$F$953,$H9&amp;"")))))</f>
        <v/>
      </c>
      <c r="AA9" s="37">
        <f>IF(SUMIFS('Исходные данные'!$I$2:$I$953,'Исходные данные'!$D$2:$D$953,AA$3,'Исходные данные'!$F$2:$F$953,$H9&amp;"")+SUMIFS('Исходные данные'!$J$2:$J$953,'Исходные данные'!$D$2:$D$953,AA$3,'Исходные данные'!$F$2:$F$953,$H9&amp;"")=0,"",IF(SUMIFS('Исходные данные'!$J$2:$J$953,'Исходные данные'!$D$2:$D$953,AA$3,'Исходные данные'!$F$2:$F$953,$H9&amp;"")=0,SUMIFS('Исходные данные'!$I$2:$I$953,'Исходные данные'!$D$2:$D$953,AA$3,'Исходные данные'!$F$2:$F$953,$H9&amp;""),IF(SUMIFS('Исходные данные'!$I$2:$I$953,'Исходные данные'!$D$2:$D$953,AA$3,'Исходные данные'!$F$2:$F$953,$H9&amp;"")=0,"0+"&amp;SUMIFS('Исходные данные'!$J$2:$J$953,'Исходные данные'!$D$2:$D$953,AA$3,'Исходные данные'!$F$2:$F$953,$H9&amp;"")&amp;"="&amp;SUMIFS('Исходные данные'!$J$2:$J$953,'Исходные данные'!$D$2:$D$953,AA$3,'Исходные данные'!$F$2:$F$953,$H9&amp;""),SUMIFS('Исходные данные'!$I$2:$I$953,'Исходные данные'!$D$2:$D$953,AA$3,'Исходные данные'!$F$2:$F$953,$H9&amp;"")&amp;"+"&amp;SUMIFS('Исходные данные'!$J$2:$J$953,'Исходные данные'!$D$2:$D$953,AA$3,'Исходные данные'!$F$2:$F$953,$H9&amp;"")&amp;"="&amp;(SUMIFS('Исходные данные'!$I$2:$I$953,'Исходные данные'!$D$2:$D$953,AA$3,'Исходные данные'!$F$2:$F$953,$H9&amp;"")+SUMIFS('Исходные данные'!$J$2:$J$953,'Исходные данные'!$D$2:$D$953,AA$3,'Исходные данные'!$F$2:$F$953,$H9&amp;"")))))</f>
        <v/>
      </c>
      <c r="AB9" s="37" t="n"/>
      <c r="AC9" s="39">
        <f>IF(SUMIFS('Исходные данные'!$I$2:$I$953,'Исходные данные'!$D$2:$D$953,AC$3,'Исходные данные'!$F$2:$F$953,$H9&amp;"")+SUMIFS('Исходные данные'!$J$2:$J$953,'Исходные данные'!$D$2:$D$953,AC$3,'Исходные данные'!$F$2:$F$953,$H9&amp;"")=0,"",IF(SUMIFS('Исходные данные'!$J$2:$J$953,'Исходные данные'!$D$2:$D$953,AC$3,'Исходные данные'!$F$2:$F$953,$H9&amp;"")=0,SUMIFS('Исходные данные'!$I$2:$I$953,'Исходные данные'!$D$2:$D$953,AC$3,'Исходные данные'!$F$2:$F$953,$H9&amp;""),IF(SUMIFS('Исходные данные'!$I$2:$I$953,'Исходные данные'!$D$2:$D$953,AC$3,'Исходные данные'!$F$2:$F$953,$H9&amp;"")=0,"0+"&amp;SUMIFS('Исходные данные'!$J$2:$J$953,'Исходные данные'!$D$2:$D$953,AC$3,'Исходные данные'!$F$2:$F$953,$H9&amp;"")&amp;"="&amp;SUMIFS('Исходные данные'!$J$2:$J$953,'Исходные данные'!$D$2:$D$953,AC$3,'Исходные данные'!$F$2:$F$953,$H9&amp;""),SUMIFS('Исходные данные'!$I$2:$I$953,'Исходные данные'!$D$2:$D$953,AC$3,'Исходные данные'!$F$2:$F$953,$H9&amp;"")&amp;"+"&amp;SUMIFS('Исходные данные'!$J$2:$J$953,'Исходные данные'!$D$2:$D$953,AC$3,'Исходные данные'!$F$2:$F$953,$H9&amp;"")&amp;"="&amp;(SUMIFS('Исходные данные'!$I$2:$I$953,'Исходные данные'!$D$2:$D$953,AC$3,'Исходные данные'!$F$2:$F$953,$H9&amp;"")+SUMIFS('Исходные данные'!$J$2:$J$953,'Исходные данные'!$D$2:$D$953,AC$3,'Исходные данные'!$F$2:$F$953,$H9&amp;"")))))</f>
        <v/>
      </c>
      <c r="AD9" s="37">
        <f>IF(SUMIFS('Исходные данные'!$I$2:$I$953,'Исходные данные'!$D$2:$D$953,AD$3,'Исходные данные'!$F$2:$F$953,$H9&amp;"")+SUMIFS('Исходные данные'!$J$2:$J$953,'Исходные данные'!$D$2:$D$953,AD$3,'Исходные данные'!$F$2:$F$953,$H9&amp;"")=0,"",IF(SUMIFS('Исходные данные'!$J$2:$J$953,'Исходные данные'!$D$2:$D$953,AD$3,'Исходные данные'!$F$2:$F$953,$H9&amp;"")=0,SUMIFS('Исходные данные'!$I$2:$I$953,'Исходные данные'!$D$2:$D$953,AD$3,'Исходные данные'!$F$2:$F$953,$H9&amp;""),IF(SUMIFS('Исходные данные'!$I$2:$I$953,'Исходные данные'!$D$2:$D$953,AD$3,'Исходные данные'!$F$2:$F$953,$H9&amp;"")=0,"0+"&amp;SUMIFS('Исходные данные'!$J$2:$J$953,'Исходные данные'!$D$2:$D$953,AD$3,'Исходные данные'!$F$2:$F$953,$H9&amp;"")&amp;"="&amp;SUMIFS('Исходные данные'!$J$2:$J$953,'Исходные данные'!$D$2:$D$953,AD$3,'Исходные данные'!$F$2:$F$953,$H9&amp;""),SUMIFS('Исходные данные'!$I$2:$I$953,'Исходные данные'!$D$2:$D$953,AD$3,'Исходные данные'!$F$2:$F$953,$H9&amp;"")&amp;"+"&amp;SUMIFS('Исходные данные'!$J$2:$J$953,'Исходные данные'!$D$2:$D$953,AD$3,'Исходные данные'!$F$2:$F$953,$H9&amp;"")&amp;"="&amp;(SUMIFS('Исходные данные'!$I$2:$I$953,'Исходные данные'!$D$2:$D$953,AD$3,'Исходные данные'!$F$2:$F$953,$H9&amp;"")+SUMIFS('Исходные данные'!$J$2:$J$953,'Исходные данные'!$D$2:$D$953,AD$3,'Исходные данные'!$F$2:$F$953,$H9&amp;"")))))</f>
        <v/>
      </c>
    </row>
    <row r="10" ht="25.5" customHeight="1">
      <c r="A10" s="26" t="n">
        <v>8</v>
      </c>
      <c r="B10" s="95" t="n"/>
      <c r="C10" s="117" t="n"/>
      <c r="D10" s="118" t="n"/>
      <c r="E10" s="117" t="n"/>
      <c r="F10" s="117" t="n"/>
      <c r="G10" s="101" t="n"/>
      <c r="H10" s="56" t="n"/>
      <c r="I10" s="41" t="n"/>
      <c r="J10" s="73" t="n"/>
      <c r="K10" s="67" t="n"/>
      <c r="L10" s="85" t="n"/>
      <c r="M10" s="79" t="n"/>
      <c r="N10" s="79" t="n"/>
      <c r="O10" s="42">
        <f>IF(SUMIFS('Исходные данные'!$I$2:$I$953,'Исходные данные'!$D$2:$D$953,O$3,'Исходные данные'!$F$2:$F$953,$H11&amp;"",'Исходные данные'!$L$2:$L$953,"УТТ")+SUMIFS('Исходные данные'!$J$2:$J$953,'Исходные данные'!$D$2:$D$953,O$3,'Исходные данные'!$F$2:$F$953,$H11&amp;"",'Исходные данные'!$L$2:$L$953,"УТТ")=0,"","утт-"&amp;(SUMIFS('Исходные данные'!$I$2:$I$953,'Исходные данные'!$D$2:$D$953,O$3,'Исходные данные'!$F$2:$F$953,$H11&amp;"",'Исходные данные'!$L$2:$L$953,"УТТ")+SUMIFS('Исходные данные'!$J$2:$J$953,'Исходные данные'!$D$2:$D$953,O$3,'Исходные данные'!$F$2:$F$953,$H11&amp;"",'Исходные данные'!$L$2:$L$953,"УТТ")))</f>
        <v/>
      </c>
      <c r="P10" s="43">
        <f>IF(SUMIFS('Исходные данные'!$I$2:$I$953,'Исходные данные'!$D$2:$D$953,P$3,'Исходные данные'!$F$2:$F$953,$H11&amp;"",'Исходные данные'!$L$2:$L$953,"УТТ")+SUMIFS('Исходные данные'!$J$2:$J$953,'Исходные данные'!$D$2:$D$953,P$3,'Исходные данные'!$F$2:$F$953,$H11&amp;"",'Исходные данные'!$L$2:$L$953,"УТТ")=0,"","утт-"&amp;(SUMIFS('Исходные данные'!$I$2:$I$953,'Исходные данные'!$D$2:$D$953,P$3,'Исходные данные'!$F$2:$F$953,$H11&amp;"",'Исходные данные'!$L$2:$L$953,"УТТ")+SUMIFS('Исходные данные'!$J$2:$J$953,'Исходные данные'!$D$2:$D$953,P$3,'Исходные данные'!$F$2:$F$953,$H11&amp;"",'Исходные данные'!$L$2:$L$953,"УТТ")))</f>
        <v/>
      </c>
      <c r="Q10" s="42">
        <f>IF(SUMIFS('Исходные данные'!$I$2:$I$953,'Исходные данные'!$D$2:$D$953,Q$3,'Исходные данные'!$F$2:$F$953,$H11&amp;"",'Исходные данные'!$L$2:$L$953,"УТТ")+SUMIFS('Исходные данные'!$J$2:$J$953,'Исходные данные'!$D$2:$D$953,Q$3,'Исходные данные'!$F$2:$F$953,$H11&amp;"",'Исходные данные'!$L$2:$L$953,"УТТ")=0,"","утт-"&amp;(SUMIFS('Исходные данные'!$I$2:$I$953,'Исходные данные'!$D$2:$D$953,Q$3,'Исходные данные'!$F$2:$F$953,$H11&amp;"",'Исходные данные'!$L$2:$L$953,"УТТ")+SUMIFS('Исходные данные'!$J$2:$J$953,'Исходные данные'!$D$2:$D$953,Q$3,'Исходные данные'!$F$2:$F$953,$H11&amp;"",'Исходные данные'!$L$2:$L$953,"УТТ")))</f>
        <v/>
      </c>
      <c r="R10" s="44">
        <f>IF(SUMIFS('Исходные данные'!$I$2:$I$953,'Исходные данные'!$D$2:$D$953,R$3,'Исходные данные'!$F$2:$F$953,$H11&amp;"",'Исходные данные'!$L$2:$L$953,"УТТ")+SUMIFS('Исходные данные'!$J$2:$J$953,'Исходные данные'!$D$2:$D$953,R$3,'Исходные данные'!$F$2:$F$953,$H11&amp;"",'Исходные данные'!$L$2:$L$953,"УТТ")=0,"","утт-"&amp;(SUMIFS('Исходные данные'!$I$2:$I$953,'Исходные данные'!$D$2:$D$953,R$3,'Исходные данные'!$F$2:$F$953,$H11&amp;"",'Исходные данные'!$L$2:$L$953,"УТТ")+SUMIFS('Исходные данные'!$J$2:$J$953,'Исходные данные'!$D$2:$D$953,R$3,'Исходные данные'!$F$2:$F$953,$H11&amp;"",'Исходные данные'!$L$2:$L$953,"УТТ")))</f>
        <v/>
      </c>
      <c r="S10" s="43">
        <f>IF(SUMIFS('Исходные данные'!$I$2:$I$953,'Исходные данные'!$D$2:$D$953,S$3,'Исходные данные'!$F$2:$F$953,$H11&amp;"",'Исходные данные'!$L$2:$L$953,"УТТ")+SUMIFS('Исходные данные'!$J$2:$J$953,'Исходные данные'!$D$2:$D$953,S$3,'Исходные данные'!$F$2:$F$953,$H11&amp;"",'Исходные данные'!$L$2:$L$953,"УТТ")=0,"","утт-"&amp;(SUMIFS('Исходные данные'!$I$2:$I$953,'Исходные данные'!$D$2:$D$953,S$3,'Исходные данные'!$F$2:$F$953,$H11&amp;"",'Исходные данные'!$L$2:$L$953,"УТТ")+SUMIFS('Исходные данные'!$J$2:$J$953,'Исходные данные'!$D$2:$D$953,S$3,'Исходные данные'!$F$2:$F$953,$H11&amp;"",'Исходные данные'!$L$2:$L$953,"УТТ")))</f>
        <v/>
      </c>
      <c r="T10" s="42">
        <f>IF(SUMIFS('Исходные данные'!$I$2:$I$953,'Исходные данные'!$D$2:$D$953,T$3,'Исходные данные'!$F$2:$F$953,$H11&amp;"",'Исходные данные'!$L$2:$L$953,"УТТ")+SUMIFS('Исходные данные'!$J$2:$J$953,'Исходные данные'!$D$2:$D$953,T$3,'Исходные данные'!$F$2:$F$953,$H11&amp;"",'Исходные данные'!$L$2:$L$953,"УТТ")=0,"","утт-"&amp;(SUMIFS('Исходные данные'!$I$2:$I$953,'Исходные данные'!$D$2:$D$953,T$3,'Исходные данные'!$F$2:$F$953,$H11&amp;"",'Исходные данные'!$L$2:$L$953,"УТТ")+SUMIFS('Исходные данные'!$J$2:$J$953,'Исходные данные'!$D$2:$D$953,T$3,'Исходные данные'!$F$2:$F$953,$H11&amp;"",'Исходные данные'!$L$2:$L$953,"УТТ")))</f>
        <v/>
      </c>
      <c r="U10" s="43">
        <f>IF(SUMIFS('Исходные данные'!$I$2:$I$953,'Исходные данные'!$D$2:$D$953,U$3,'Исходные данные'!$F$2:$F$953,$H11&amp;"",'Исходные данные'!$L$2:$L$953,"УТТ")+SUMIFS('Исходные данные'!$J$2:$J$953,'Исходные данные'!$D$2:$D$953,U$3,'Исходные данные'!$F$2:$F$953,$H11&amp;"",'Исходные данные'!$L$2:$L$953,"УТТ")=0,"","утт-"&amp;(SUMIFS('Исходные данные'!$I$2:$I$953,'Исходные данные'!$D$2:$D$953,U$3,'Исходные данные'!$F$2:$F$953,$H11&amp;"",'Исходные данные'!$L$2:$L$953,"УТТ")+SUMIFS('Исходные данные'!$J$2:$J$953,'Исходные данные'!$D$2:$D$953,U$3,'Исходные данные'!$F$2:$F$953,$H11&amp;"",'Исходные данные'!$L$2:$L$953,"УТТ")))</f>
        <v/>
      </c>
      <c r="V10" s="42">
        <f>IF(SUMIFS('Исходные данные'!$I$2:$I$953,'Исходные данные'!$D$2:$D$953,V$3,'Исходные данные'!$F$2:$F$953,$H11&amp;"",'Исходные данные'!$L$2:$L$953,"УТТ")+SUMIFS('Исходные данные'!$J$2:$J$953,'Исходные данные'!$D$2:$D$953,V$3,'Исходные данные'!$F$2:$F$953,$H11&amp;"",'Исходные данные'!$L$2:$L$953,"УТТ")=0,"","утт-"&amp;(SUMIFS('Исходные данные'!$I$2:$I$953,'Исходные данные'!$D$2:$D$953,V$3,'Исходные данные'!$F$2:$F$953,$H11&amp;"",'Исходные данные'!$L$2:$L$953,"УТТ")+SUMIFS('Исходные данные'!$J$2:$J$953,'Исходные данные'!$D$2:$D$953,V$3,'Исходные данные'!$F$2:$F$953,$H11&amp;"",'Исходные данные'!$L$2:$L$953,"УТТ")))</f>
        <v/>
      </c>
      <c r="W10" s="43">
        <f>IF(SUMIFS('Исходные данные'!$I$2:$I$953,'Исходные данные'!$D$2:$D$953,W$3,'Исходные данные'!$F$2:$F$953,$H11&amp;"",'Исходные данные'!$L$2:$L$953,"УТТ")+SUMIFS('Исходные данные'!$J$2:$J$953,'Исходные данные'!$D$2:$D$953,W$3,'Исходные данные'!$F$2:$F$953,$H11&amp;"",'Исходные данные'!$L$2:$L$953,"УТТ")=0,"","утт-"&amp;(SUMIFS('Исходные данные'!$I$2:$I$953,'Исходные данные'!$D$2:$D$953,W$3,'Исходные данные'!$F$2:$F$953,$H11&amp;"",'Исходные данные'!$L$2:$L$953,"УТТ")+SUMIFS('Исходные данные'!$J$2:$J$953,'Исходные данные'!$D$2:$D$953,W$3,'Исходные данные'!$F$2:$F$953,$H11&amp;"",'Исходные данные'!$L$2:$L$953,"УТТ")))</f>
        <v/>
      </c>
      <c r="X10" s="43">
        <f>IF(SUMIFS('Исходные данные'!$I$2:$I$953,'Исходные данные'!$D$2:$D$953,X$3,'Исходные данные'!$F$2:$F$953,$H11&amp;"",'Исходные данные'!$L$2:$L$953,"УТТ")+SUMIFS('Исходные данные'!$J$2:$J$953,'Исходные данные'!$D$2:$D$953,X$3,'Исходные данные'!$F$2:$F$953,$H11&amp;"",'Исходные данные'!$L$2:$L$953,"УТТ")=0,"","утт-"&amp;(SUMIFS('Исходные данные'!$I$2:$I$953,'Исходные данные'!$D$2:$D$953,X$3,'Исходные данные'!$F$2:$F$953,$H11&amp;"",'Исходные данные'!$L$2:$L$953,"УТТ")+SUMIFS('Исходные данные'!$J$2:$J$953,'Исходные данные'!$D$2:$D$953,X$3,'Исходные данные'!$F$2:$F$953,$H11&amp;"",'Исходные данные'!$L$2:$L$953,"УТТ")))</f>
        <v/>
      </c>
      <c r="Y10" s="45">
        <f>IF(SUMIFS('Исходные данные'!$I$2:$I$953,'Исходные данные'!$D$2:$D$953,Y$3,'Исходные данные'!$F$2:$F$953,$H11&amp;"",'Исходные данные'!$L$2:$L$953,"УТТ")+SUMIFS('Исходные данные'!$J$2:$J$953,'Исходные данные'!$D$2:$D$953,Y$3,'Исходные данные'!$F$2:$F$953,$H11&amp;"",'Исходные данные'!$L$2:$L$953,"УТТ")=0,"","утт-"&amp;(SUMIFS('Исходные данные'!$I$2:$I$953,'Исходные данные'!$D$2:$D$953,Y$3,'Исходные данные'!$F$2:$F$953,$H11&amp;"",'Исходные данные'!$L$2:$L$953,"УТТ")+SUMIFS('Исходные данные'!$J$2:$J$953,'Исходные данные'!$D$2:$D$953,Y$3,'Исходные данные'!$F$2:$F$953,$H11&amp;"",'Исходные данные'!$L$2:$L$953,"УТТ")))</f>
        <v/>
      </c>
      <c r="Z10" s="42">
        <f>IF(SUMIFS('Исходные данные'!$I$2:$I$953,'Исходные данные'!$D$2:$D$953,Z$3,'Исходные данные'!$F$2:$F$953,$H11&amp;"",'Исходные данные'!$L$2:$L$953,"УТТ")+SUMIFS('Исходные данные'!$J$2:$J$953,'Исходные данные'!$D$2:$D$953,Z$3,'Исходные данные'!$F$2:$F$953,$H11&amp;"",'Исходные данные'!$L$2:$L$953,"УТТ")=0,"","утт-"&amp;(SUMIFS('Исходные данные'!$I$2:$I$953,'Исходные данные'!$D$2:$D$953,Z$3,'Исходные данные'!$F$2:$F$953,$H11&amp;"",'Исходные данные'!$L$2:$L$953,"УТТ")+SUMIFS('Исходные данные'!$J$2:$J$953,'Исходные данные'!$D$2:$D$953,Z$3,'Исходные данные'!$F$2:$F$953,$H11&amp;"",'Исходные данные'!$L$2:$L$953,"УТТ")))</f>
        <v/>
      </c>
      <c r="AA10" s="43">
        <f>IF(SUMIFS('Исходные данные'!$I$2:$I$953,'Исходные данные'!$D$2:$D$953,AA$3,'Исходные данные'!$F$2:$F$953,$H11&amp;"",'Исходные данные'!$L$2:$L$953,"УТТ")+SUMIFS('Исходные данные'!$J$2:$J$953,'Исходные данные'!$D$2:$D$953,AA$3,'Исходные данные'!$F$2:$F$953,$H11&amp;"",'Исходные данные'!$L$2:$L$953,"УТТ")=0,"","утт-"&amp;(SUMIFS('Исходные данные'!$I$2:$I$953,'Исходные данные'!$D$2:$D$953,AA$3,'Исходные данные'!$F$2:$F$953,$H11&amp;"",'Исходные данные'!$L$2:$L$953,"УТТ")+SUMIFS('Исходные данные'!$J$2:$J$953,'Исходные данные'!$D$2:$D$953,AA$3,'Исходные данные'!$F$2:$F$953,$H11&amp;"",'Исходные данные'!$L$2:$L$953,"УТТ")))</f>
        <v/>
      </c>
      <c r="AB10" s="43" t="n"/>
      <c r="AC10" s="42">
        <f>IF(SUMIFS('Исходные данные'!$I$2:$I$953,'Исходные данные'!$D$2:$D$953,AC$3,'Исходные данные'!$F$2:$F$953,$H11&amp;"",'Исходные данные'!$L$2:$L$953,"УТТ")+SUMIFS('Исходные данные'!$J$2:$J$953,'Исходные данные'!$D$2:$D$953,AC$3,'Исходные данные'!$F$2:$F$953,$H11&amp;"",'Исходные данные'!$L$2:$L$953,"УТТ")=0,"","утт-"&amp;(SUMIFS('Исходные данные'!$I$2:$I$953,'Исходные данные'!$D$2:$D$953,AC$3,'Исходные данные'!$F$2:$F$953,$H11&amp;"",'Исходные данные'!$L$2:$L$953,"УТТ")+SUMIFS('Исходные данные'!$J$2:$J$953,'Исходные данные'!$D$2:$D$953,AC$3,'Исходные данные'!$F$2:$F$953,$H11&amp;"",'Исходные данные'!$L$2:$L$953,"УТТ")))</f>
        <v/>
      </c>
      <c r="AD10" s="43">
        <f>IF(SUMIFS('Исходные данные'!$I$2:$I$953,'Исходные данные'!$D$2:$D$953,AD$3,'Исходные данные'!$F$2:$F$953,$H11&amp;"",'Исходные данные'!$L$2:$L$953,"УТТ")+SUMIFS('Исходные данные'!$J$2:$J$953,'Исходные данные'!$D$2:$D$953,AD$3,'Исходные данные'!$F$2:$F$953,$H11&amp;"",'Исходные данные'!$L$2:$L$953,"УТТ")=0,"","утт-"&amp;(SUMIFS('Исходные данные'!$I$2:$I$953,'Исходные данные'!$D$2:$D$953,AD$3,'Исходные данные'!$F$2:$F$953,$H11&amp;"",'Исходные данные'!$L$2:$L$953,"УТТ")+SUMIFS('Исходные данные'!$J$2:$J$953,'Исходные данные'!$D$2:$D$953,AD$3,'Исходные данные'!$F$2:$F$953,$H11&amp;"",'Исходные данные'!$L$2:$L$953,"УТТ")))</f>
        <v/>
      </c>
    </row>
    <row r="11" ht="25.5" customHeight="1">
      <c r="A11" s="34" t="n">
        <v>9</v>
      </c>
      <c r="B11" s="95" t="n"/>
      <c r="C11" s="117" t="n"/>
      <c r="D11" s="118" t="n"/>
      <c r="E11" s="117" t="n"/>
      <c r="F11" s="117" t="n"/>
      <c r="G11" s="102" t="n"/>
      <c r="H11" s="56" t="n">
        <v>28</v>
      </c>
      <c r="I11" s="35" t="inlineStr">
        <is>
          <t>Автокран</t>
        </is>
      </c>
      <c r="J11" s="72">
        <f>IFERROR(INDEX('Выход ТС'!$C:$C,MATCH($H11&amp;"",'Выход ТС'!$A:$A,0)),"")</f>
        <v/>
      </c>
      <c r="K11" s="66">
        <f>IFERROR(INDEX('Выход ТС'!$D:$D,MATCH($H11&amp;"",'Выход ТС'!$A:$A,0)),"")</f>
        <v/>
      </c>
      <c r="L11" s="84">
        <f>IFERROR(INDEX('Выход ТС'!$E:$E,MATCH($H11&amp;"",'Выход ТС'!$A:$A,0)),"")</f>
        <v/>
      </c>
      <c r="M11" s="78">
        <f>IFERROR(IF(INDEX('Выход ТС'!$F:$F,MATCH($H11&amp;"",'Выход ТС'!$A:$A,0))=0,"",INDEX('Выход ТС'!$F:$F,MATCH($H11&amp;"",'Выход ТС'!$A:$A,0))),"")</f>
        <v/>
      </c>
      <c r="N11" s="78">
        <f>IFERROR(IF(INDEX('Выход ТС'!$G:$G,MATCH($H11&amp;"",'Выход ТС'!$A:$A,0))=0,"",INDEX('Выход ТС'!$G:$G,MATCH($H11&amp;"",'Выход ТС'!$A:$A,0))),"")</f>
        <v/>
      </c>
      <c r="O11" s="36">
        <f>IF(SUMIFS('Исходные данные'!$I$2:$I$953,'Исходные данные'!$D$2:$D$953,O$3,'Исходные данные'!$F$2:$F$953,$H11&amp;"")+SUMIFS('Исходные данные'!$J$2:$J$953,'Исходные данные'!$D$2:$D$953,O$3,'Исходные данные'!$F$2:$F$953,$H11&amp;"")=0,"",IF(SUMIFS('Исходные данные'!$J$2:$J$953,'Исходные данные'!$D$2:$D$953,O$3,'Исходные данные'!$F$2:$F$953,$H11&amp;"")=0,SUMIFS('Исходные данные'!$I$2:$I$953,'Исходные данные'!$D$2:$D$953,O$3,'Исходные данные'!$F$2:$F$953,$H11&amp;""),IF(SUMIFS('Исходные данные'!$I$2:$I$953,'Исходные данные'!$D$2:$D$953,O$3,'Исходные данные'!$F$2:$F$953,$H11&amp;"")=0,"0+"&amp;SUMIFS('Исходные данные'!$J$2:$J$953,'Исходные данные'!$D$2:$D$953,O$3,'Исходные данные'!$F$2:$F$953,$H11&amp;"")&amp;"="&amp;SUMIFS('Исходные данные'!$J$2:$J$953,'Исходные данные'!$D$2:$D$953,O$3,'Исходные данные'!$F$2:$F$953,$H11&amp;""),SUMIFS('Исходные данные'!$I$2:$I$953,'Исходные данные'!$D$2:$D$953,O$3,'Исходные данные'!$F$2:$F$953,$H11&amp;"")&amp;"+"&amp;SUMIFS('Исходные данные'!$J$2:$J$953,'Исходные данные'!$D$2:$D$953,O$3,'Исходные данные'!$F$2:$F$953,$H11&amp;"")&amp;"="&amp;(SUMIFS('Исходные данные'!$I$2:$I$953,'Исходные данные'!$D$2:$D$953,O$3,'Исходные данные'!$F$2:$F$953,$H11&amp;"")+SUMIFS('Исходные данные'!$J$2:$J$953,'Исходные данные'!$D$2:$D$953,O$3,'Исходные данные'!$F$2:$F$953,$H11&amp;"")))))</f>
        <v/>
      </c>
      <c r="P11" s="37">
        <f>IF(SUMIFS('Исходные данные'!$I$2:$I$953,'Исходные данные'!$D$2:$D$953,P$3,'Исходные данные'!$F$2:$F$953,$H11&amp;"")+SUMIFS('Исходные данные'!$J$2:$J$953,'Исходные данные'!$D$2:$D$953,P$3,'Исходные данные'!$F$2:$F$953,$H11&amp;"")=0,"",IF(SUMIFS('Исходные данные'!$J$2:$J$953,'Исходные данные'!$D$2:$D$953,P$3,'Исходные данные'!$F$2:$F$953,$H11&amp;"")=0,SUMIFS('Исходные данные'!$I$2:$I$953,'Исходные данные'!$D$2:$D$953,P$3,'Исходные данные'!$F$2:$F$953,$H11&amp;""),IF(SUMIFS('Исходные данные'!$I$2:$I$953,'Исходные данные'!$D$2:$D$953,P$3,'Исходные данные'!$F$2:$F$953,$H11&amp;"")=0,"0+"&amp;SUMIFS('Исходные данные'!$J$2:$J$953,'Исходные данные'!$D$2:$D$953,P$3,'Исходные данные'!$F$2:$F$953,$H11&amp;"")&amp;"="&amp;SUMIFS('Исходные данные'!$J$2:$J$953,'Исходные данные'!$D$2:$D$953,P$3,'Исходные данные'!$F$2:$F$953,$H11&amp;""),SUMIFS('Исходные данные'!$I$2:$I$953,'Исходные данные'!$D$2:$D$953,P$3,'Исходные данные'!$F$2:$F$953,$H11&amp;"")&amp;"+"&amp;SUMIFS('Исходные данные'!$J$2:$J$953,'Исходные данные'!$D$2:$D$953,P$3,'Исходные данные'!$F$2:$F$953,$H11&amp;"")&amp;"="&amp;(SUMIFS('Исходные данные'!$I$2:$I$953,'Исходные данные'!$D$2:$D$953,P$3,'Исходные данные'!$F$2:$F$953,$H11&amp;"")+SUMIFS('Исходные данные'!$J$2:$J$953,'Исходные данные'!$D$2:$D$953,P$3,'Исходные данные'!$F$2:$F$953,$H11&amp;"")))))</f>
        <v/>
      </c>
      <c r="Q11" s="36">
        <f>IF(SUMIFS('Исходные данные'!$I$2:$I$953,'Исходные данные'!$D$2:$D$953,Q$3,'Исходные данные'!$F$2:$F$953,$H11&amp;"")+SUMIFS('Исходные данные'!$J$2:$J$953,'Исходные данные'!$D$2:$D$953,Q$3,'Исходные данные'!$F$2:$F$953,$H11&amp;"")=0,"",IF(SUMIFS('Исходные данные'!$J$2:$J$953,'Исходные данные'!$D$2:$D$953,Q$3,'Исходные данные'!$F$2:$F$953,$H11&amp;"")=0,SUMIFS('Исходные данные'!$I$2:$I$953,'Исходные данные'!$D$2:$D$953,Q$3,'Исходные данные'!$F$2:$F$953,$H11&amp;""),IF(SUMIFS('Исходные данные'!$I$2:$I$953,'Исходные данные'!$D$2:$D$953,Q$3,'Исходные данные'!$F$2:$F$953,$H11&amp;"")=0,"0+"&amp;SUMIFS('Исходные данные'!$J$2:$J$953,'Исходные данные'!$D$2:$D$953,Q$3,'Исходные данные'!$F$2:$F$953,$H11&amp;"")&amp;"="&amp;SUMIFS('Исходные данные'!$J$2:$J$953,'Исходные данные'!$D$2:$D$953,Q$3,'Исходные данные'!$F$2:$F$953,$H11&amp;""),SUMIFS('Исходные данные'!$I$2:$I$953,'Исходные данные'!$D$2:$D$953,Q$3,'Исходные данные'!$F$2:$F$953,$H11&amp;"")&amp;"+"&amp;SUMIFS('Исходные данные'!$J$2:$J$953,'Исходные данные'!$D$2:$D$953,Q$3,'Исходные данные'!$F$2:$F$953,$H11&amp;"")&amp;"="&amp;(SUMIFS('Исходные данные'!$I$2:$I$953,'Исходные данные'!$D$2:$D$953,Q$3,'Исходные данные'!$F$2:$F$953,$H11&amp;"")+SUMIFS('Исходные данные'!$J$2:$J$953,'Исходные данные'!$D$2:$D$953,Q$3,'Исходные данные'!$F$2:$F$953,$H11&amp;"")))))</f>
        <v/>
      </c>
      <c r="R11" s="38">
        <f>IF(SUMIFS('Исходные данные'!$I$2:$I$953,'Исходные данные'!$D$2:$D$953,R$3,'Исходные данные'!$F$2:$F$953,$H11&amp;"")+SUMIFS('Исходные данные'!$J$2:$J$953,'Исходные данные'!$D$2:$D$953,R$3,'Исходные данные'!$F$2:$F$953,$H11&amp;"")=0,"",IF(SUMIFS('Исходные данные'!$J$2:$J$953,'Исходные данные'!$D$2:$D$953,R$3,'Исходные данные'!$F$2:$F$953,$H11&amp;"")=0,SUMIFS('Исходные данные'!$I$2:$I$953,'Исходные данные'!$D$2:$D$953,R$3,'Исходные данные'!$F$2:$F$953,$H11&amp;""),IF(SUMIFS('Исходные данные'!$I$2:$I$953,'Исходные данные'!$D$2:$D$953,R$3,'Исходные данные'!$F$2:$F$953,$H11&amp;"")=0,"0+"&amp;SUMIFS('Исходные данные'!$J$2:$J$953,'Исходные данные'!$D$2:$D$953,R$3,'Исходные данные'!$F$2:$F$953,$H11&amp;"")&amp;"="&amp;SUMIFS('Исходные данные'!$J$2:$J$953,'Исходные данные'!$D$2:$D$953,R$3,'Исходные данные'!$F$2:$F$953,$H11&amp;""),SUMIFS('Исходные данные'!$I$2:$I$953,'Исходные данные'!$D$2:$D$953,R$3,'Исходные данные'!$F$2:$F$953,$H11&amp;"")&amp;"+"&amp;SUMIFS('Исходные данные'!$J$2:$J$953,'Исходные данные'!$D$2:$D$953,R$3,'Исходные данные'!$F$2:$F$953,$H11&amp;"")&amp;"="&amp;(SUMIFS('Исходные данные'!$I$2:$I$953,'Исходные данные'!$D$2:$D$953,R$3,'Исходные данные'!$F$2:$F$953,$H11&amp;"")+SUMIFS('Исходные данные'!$J$2:$J$953,'Исходные данные'!$D$2:$D$953,R$3,'Исходные данные'!$F$2:$F$953,$H11&amp;"")))))</f>
        <v/>
      </c>
      <c r="S11" s="37">
        <f>IF(SUMIFS('Исходные данные'!$I$2:$I$953,'Исходные данные'!$D$2:$D$953,S$3,'Исходные данные'!$F$2:$F$953,$H11&amp;"")+SUMIFS('Исходные данные'!$J$2:$J$953,'Исходные данные'!$D$2:$D$953,S$3,'Исходные данные'!$F$2:$F$953,$H11&amp;"")=0,"",IF(SUMIFS('Исходные данные'!$J$2:$J$953,'Исходные данные'!$D$2:$D$953,S$3,'Исходные данные'!$F$2:$F$953,$H11&amp;"")=0,SUMIFS('Исходные данные'!$I$2:$I$953,'Исходные данные'!$D$2:$D$953,S$3,'Исходные данные'!$F$2:$F$953,$H11&amp;""),IF(SUMIFS('Исходные данные'!$I$2:$I$953,'Исходные данные'!$D$2:$D$953,S$3,'Исходные данные'!$F$2:$F$953,$H11&amp;"")=0,"0+"&amp;SUMIFS('Исходные данные'!$J$2:$J$953,'Исходные данные'!$D$2:$D$953,S$3,'Исходные данные'!$F$2:$F$953,$H11&amp;"")&amp;"="&amp;SUMIFS('Исходные данные'!$J$2:$J$953,'Исходные данные'!$D$2:$D$953,S$3,'Исходные данные'!$F$2:$F$953,$H11&amp;""),SUMIFS('Исходные данные'!$I$2:$I$953,'Исходные данные'!$D$2:$D$953,S$3,'Исходные данные'!$F$2:$F$953,$H11&amp;"")&amp;"+"&amp;SUMIFS('Исходные данные'!$J$2:$J$953,'Исходные данные'!$D$2:$D$953,S$3,'Исходные данные'!$F$2:$F$953,$H11&amp;"")&amp;"="&amp;(SUMIFS('Исходные данные'!$I$2:$I$953,'Исходные данные'!$D$2:$D$953,S$3,'Исходные данные'!$F$2:$F$953,$H11&amp;"")+SUMIFS('Исходные данные'!$J$2:$J$953,'Исходные данные'!$D$2:$D$953,S$3,'Исходные данные'!$F$2:$F$953,$H11&amp;"")))))</f>
        <v/>
      </c>
      <c r="T11" s="36">
        <f>IF(SUMIFS('Исходные данные'!$I$2:$I$953,'Исходные данные'!$D$2:$D$953,T$3,'Исходные данные'!$F$2:$F$953,$H11&amp;"")+SUMIFS('Исходные данные'!$J$2:$J$953,'Исходные данные'!$D$2:$D$953,T$3,'Исходные данные'!$F$2:$F$953,$H11&amp;"")=0,"",IF(SUMIFS('Исходные данные'!$J$2:$J$953,'Исходные данные'!$D$2:$D$953,T$3,'Исходные данные'!$F$2:$F$953,$H11&amp;"")=0,SUMIFS('Исходные данные'!$I$2:$I$953,'Исходные данные'!$D$2:$D$953,T$3,'Исходные данные'!$F$2:$F$953,$H11&amp;""),IF(SUMIFS('Исходные данные'!$I$2:$I$953,'Исходные данные'!$D$2:$D$953,T$3,'Исходные данные'!$F$2:$F$953,$H11&amp;"")=0,"0+"&amp;SUMIFS('Исходные данные'!$J$2:$J$953,'Исходные данные'!$D$2:$D$953,T$3,'Исходные данные'!$F$2:$F$953,$H11&amp;"")&amp;"="&amp;SUMIFS('Исходные данные'!$J$2:$J$953,'Исходные данные'!$D$2:$D$953,T$3,'Исходные данные'!$F$2:$F$953,$H11&amp;""),SUMIFS('Исходные данные'!$I$2:$I$953,'Исходные данные'!$D$2:$D$953,T$3,'Исходные данные'!$F$2:$F$953,$H11&amp;"")&amp;"+"&amp;SUMIFS('Исходные данные'!$J$2:$J$953,'Исходные данные'!$D$2:$D$953,T$3,'Исходные данные'!$F$2:$F$953,$H11&amp;"")&amp;"="&amp;(SUMIFS('Исходные данные'!$I$2:$I$953,'Исходные данные'!$D$2:$D$953,T$3,'Исходные данные'!$F$2:$F$953,$H11&amp;"")+SUMIFS('Исходные данные'!$J$2:$J$953,'Исходные данные'!$D$2:$D$953,T$3,'Исходные данные'!$F$2:$F$953,$H11&amp;"")))))</f>
        <v/>
      </c>
      <c r="U11" s="37">
        <f>IF(SUMIFS('Исходные данные'!$I$2:$I$953,'Исходные данные'!$D$2:$D$953,U$3,'Исходные данные'!$F$2:$F$953,$H11&amp;"")+SUMIFS('Исходные данные'!$J$2:$J$953,'Исходные данные'!$D$2:$D$953,U$3,'Исходные данные'!$F$2:$F$953,$H11&amp;"")=0,"",IF(SUMIFS('Исходные данные'!$J$2:$J$953,'Исходные данные'!$D$2:$D$953,U$3,'Исходные данные'!$F$2:$F$953,$H11&amp;"")=0,SUMIFS('Исходные данные'!$I$2:$I$953,'Исходные данные'!$D$2:$D$953,U$3,'Исходные данные'!$F$2:$F$953,$H11&amp;""),IF(SUMIFS('Исходные данные'!$I$2:$I$953,'Исходные данные'!$D$2:$D$953,U$3,'Исходные данные'!$F$2:$F$953,$H11&amp;"")=0,"0+"&amp;SUMIFS('Исходные данные'!$J$2:$J$953,'Исходные данные'!$D$2:$D$953,U$3,'Исходные данные'!$F$2:$F$953,$H11&amp;"")&amp;"="&amp;SUMIFS('Исходные данные'!$J$2:$J$953,'Исходные данные'!$D$2:$D$953,U$3,'Исходные данные'!$F$2:$F$953,$H11&amp;""),SUMIFS('Исходные данные'!$I$2:$I$953,'Исходные данные'!$D$2:$D$953,U$3,'Исходные данные'!$F$2:$F$953,$H11&amp;"")&amp;"+"&amp;SUMIFS('Исходные данные'!$J$2:$J$953,'Исходные данные'!$D$2:$D$953,U$3,'Исходные данные'!$F$2:$F$953,$H11&amp;"")&amp;"="&amp;(SUMIFS('Исходные данные'!$I$2:$I$953,'Исходные данные'!$D$2:$D$953,U$3,'Исходные данные'!$F$2:$F$953,$H11&amp;"")+SUMIFS('Исходные данные'!$J$2:$J$953,'Исходные данные'!$D$2:$D$953,U$3,'Исходные данные'!$F$2:$F$953,$H11&amp;"")))))</f>
        <v/>
      </c>
      <c r="V11" s="36">
        <f>IF(SUMIFS('Исходные данные'!$I$2:$I$953,'Исходные данные'!$D$2:$D$953,V$3,'Исходные данные'!$F$2:$F$953,$H11&amp;"")+SUMIFS('Исходные данные'!$J$2:$J$953,'Исходные данные'!$D$2:$D$953,V$3,'Исходные данные'!$F$2:$F$953,$H11&amp;"")=0,"",IF(SUMIFS('Исходные данные'!$J$2:$J$953,'Исходные данные'!$D$2:$D$953,V$3,'Исходные данные'!$F$2:$F$953,$H11&amp;"")=0,SUMIFS('Исходные данные'!$I$2:$I$953,'Исходные данные'!$D$2:$D$953,V$3,'Исходные данные'!$F$2:$F$953,$H11&amp;""),IF(SUMIFS('Исходные данные'!$I$2:$I$953,'Исходные данные'!$D$2:$D$953,V$3,'Исходные данные'!$F$2:$F$953,$H11&amp;"")=0,"0+"&amp;SUMIFS('Исходные данные'!$J$2:$J$953,'Исходные данные'!$D$2:$D$953,V$3,'Исходные данные'!$F$2:$F$953,$H11&amp;"")&amp;"="&amp;SUMIFS('Исходные данные'!$J$2:$J$953,'Исходные данные'!$D$2:$D$953,V$3,'Исходные данные'!$F$2:$F$953,$H11&amp;""),SUMIFS('Исходные данные'!$I$2:$I$953,'Исходные данные'!$D$2:$D$953,V$3,'Исходные данные'!$F$2:$F$953,$H11&amp;"")&amp;"+"&amp;SUMIFS('Исходные данные'!$J$2:$J$953,'Исходные данные'!$D$2:$D$953,V$3,'Исходные данные'!$F$2:$F$953,$H11&amp;"")&amp;"="&amp;(SUMIFS('Исходные данные'!$I$2:$I$953,'Исходные данные'!$D$2:$D$953,V$3,'Исходные данные'!$F$2:$F$953,$H11&amp;"")+SUMIFS('Исходные данные'!$J$2:$J$953,'Исходные данные'!$D$2:$D$953,V$3,'Исходные данные'!$F$2:$F$953,$H11&amp;"")))))</f>
        <v/>
      </c>
      <c r="W11" s="37">
        <f>IF(SUMIFS('Исходные данные'!$I$2:$I$953,'Исходные данные'!$D$2:$D$953,W$3,'Исходные данные'!$F$2:$F$953,$H11&amp;"")+SUMIFS('Исходные данные'!$J$2:$J$953,'Исходные данные'!$D$2:$D$953,W$3,'Исходные данные'!$F$2:$F$953,$H11&amp;"")=0,"",IF(SUMIFS('Исходные данные'!$J$2:$J$953,'Исходные данные'!$D$2:$D$953,W$3,'Исходные данные'!$F$2:$F$953,$H11&amp;"")=0,SUMIFS('Исходные данные'!$I$2:$I$953,'Исходные данные'!$D$2:$D$953,W$3,'Исходные данные'!$F$2:$F$953,$H11&amp;""),IF(SUMIFS('Исходные данные'!$I$2:$I$953,'Исходные данные'!$D$2:$D$953,W$3,'Исходные данные'!$F$2:$F$953,$H11&amp;"")=0,"0+"&amp;SUMIFS('Исходные данные'!$J$2:$J$953,'Исходные данные'!$D$2:$D$953,W$3,'Исходные данные'!$F$2:$F$953,$H11&amp;"")&amp;"="&amp;SUMIFS('Исходные данные'!$J$2:$J$953,'Исходные данные'!$D$2:$D$953,W$3,'Исходные данные'!$F$2:$F$953,$H11&amp;""),SUMIFS('Исходные данные'!$I$2:$I$953,'Исходные данные'!$D$2:$D$953,W$3,'Исходные данные'!$F$2:$F$953,$H11&amp;"")&amp;"+"&amp;SUMIFS('Исходные данные'!$J$2:$J$953,'Исходные данные'!$D$2:$D$953,W$3,'Исходные данные'!$F$2:$F$953,$H11&amp;"")&amp;"="&amp;(SUMIFS('Исходные данные'!$I$2:$I$953,'Исходные данные'!$D$2:$D$953,W$3,'Исходные данные'!$F$2:$F$953,$H11&amp;"")+SUMIFS('Исходные данные'!$J$2:$J$953,'Исходные данные'!$D$2:$D$953,W$3,'Исходные данные'!$F$2:$F$953,$H11&amp;"")))))</f>
        <v/>
      </c>
      <c r="X11" s="37">
        <f>IF(SUMIFS('Исходные данные'!$I$2:$I$953,'Исходные данные'!$D$2:$D$953,X$3,'Исходные данные'!$F$2:$F$953,$H11&amp;"")+SUMIFS('Исходные данные'!$J$2:$J$953,'Исходные данные'!$D$2:$D$953,X$3,'Исходные данные'!$F$2:$F$953,$H11&amp;"")=0,"",IF(SUMIFS('Исходные данные'!$J$2:$J$953,'Исходные данные'!$D$2:$D$953,X$3,'Исходные данные'!$F$2:$F$953,$H11&amp;"")=0,SUMIFS('Исходные данные'!$I$2:$I$953,'Исходные данные'!$D$2:$D$953,X$3,'Исходные данные'!$F$2:$F$953,$H11&amp;""),IF(SUMIFS('Исходные данные'!$I$2:$I$953,'Исходные данные'!$D$2:$D$953,X$3,'Исходные данные'!$F$2:$F$953,$H11&amp;"")=0,"0+"&amp;SUMIFS('Исходные данные'!$J$2:$J$953,'Исходные данные'!$D$2:$D$953,X$3,'Исходные данные'!$F$2:$F$953,$H11&amp;"")&amp;"="&amp;SUMIFS('Исходные данные'!$J$2:$J$953,'Исходные данные'!$D$2:$D$953,X$3,'Исходные данные'!$F$2:$F$953,$H11&amp;""),SUMIFS('Исходные данные'!$I$2:$I$953,'Исходные данные'!$D$2:$D$953,X$3,'Исходные данные'!$F$2:$F$953,$H11&amp;"")&amp;"+"&amp;SUMIFS('Исходные данные'!$J$2:$J$953,'Исходные данные'!$D$2:$D$953,X$3,'Исходные данные'!$F$2:$F$953,$H11&amp;"")&amp;"="&amp;(SUMIFS('Исходные данные'!$I$2:$I$953,'Исходные данные'!$D$2:$D$953,X$3,'Исходные данные'!$F$2:$F$953,$H11&amp;"")+SUMIFS('Исходные данные'!$J$2:$J$953,'Исходные данные'!$D$2:$D$953,X$3,'Исходные данные'!$F$2:$F$953,$H11&amp;"")))))</f>
        <v/>
      </c>
      <c r="Y11" s="39">
        <f>IF(SUMIFS('Исходные данные'!$I$2:$I$953,'Исходные данные'!$D$2:$D$953,Y$3,'Исходные данные'!$F$2:$F$953,$H11&amp;"")+SUMIFS('Исходные данные'!$J$2:$J$953,'Исходные данные'!$D$2:$D$953,Y$3,'Исходные данные'!$F$2:$F$953,$H11&amp;"")=0,"",IF(SUMIFS('Исходные данные'!$J$2:$J$953,'Исходные данные'!$D$2:$D$953,Y$3,'Исходные данные'!$F$2:$F$953,$H11&amp;"")=0,SUMIFS('Исходные данные'!$I$2:$I$953,'Исходные данные'!$D$2:$D$953,Y$3,'Исходные данные'!$F$2:$F$953,$H11&amp;""),IF(SUMIFS('Исходные данные'!$I$2:$I$953,'Исходные данные'!$D$2:$D$953,Y$3,'Исходные данные'!$F$2:$F$953,$H11&amp;"")=0,"0+"&amp;SUMIFS('Исходные данные'!$J$2:$J$953,'Исходные данные'!$D$2:$D$953,Y$3,'Исходные данные'!$F$2:$F$953,$H11&amp;"")&amp;"="&amp;SUMIFS('Исходные данные'!$J$2:$J$953,'Исходные данные'!$D$2:$D$953,Y$3,'Исходные данные'!$F$2:$F$953,$H11&amp;""),SUMIFS('Исходные данные'!$I$2:$I$953,'Исходные данные'!$D$2:$D$953,Y$3,'Исходные данные'!$F$2:$F$953,$H11&amp;"")&amp;"+"&amp;SUMIFS('Исходные данные'!$J$2:$J$953,'Исходные данные'!$D$2:$D$953,Y$3,'Исходные данные'!$F$2:$F$953,$H11&amp;"")&amp;"="&amp;(SUMIFS('Исходные данные'!$I$2:$I$953,'Исходные данные'!$D$2:$D$953,Y$3,'Исходные данные'!$F$2:$F$953,$H11&amp;"")+SUMIFS('Исходные данные'!$J$2:$J$953,'Исходные данные'!$D$2:$D$953,Y$3,'Исходные данные'!$F$2:$F$953,$H11&amp;"")))))</f>
        <v/>
      </c>
      <c r="Z11" s="36">
        <f>IF(SUMIFS('Исходные данные'!$I$2:$I$953,'Исходные данные'!$D$2:$D$953,Z$3,'Исходные данные'!$F$2:$F$953,$H11&amp;"")+SUMIFS('Исходные данные'!$J$2:$J$953,'Исходные данные'!$D$2:$D$953,Z$3,'Исходные данные'!$F$2:$F$953,$H11&amp;"")=0,"",IF(SUMIFS('Исходные данные'!$J$2:$J$953,'Исходные данные'!$D$2:$D$953,Z$3,'Исходные данные'!$F$2:$F$953,$H11&amp;"")=0,SUMIFS('Исходные данные'!$I$2:$I$953,'Исходные данные'!$D$2:$D$953,Z$3,'Исходные данные'!$F$2:$F$953,$H11&amp;""),IF(SUMIFS('Исходные данные'!$I$2:$I$953,'Исходные данные'!$D$2:$D$953,Z$3,'Исходные данные'!$F$2:$F$953,$H11&amp;"")=0,"0+"&amp;SUMIFS('Исходные данные'!$J$2:$J$953,'Исходные данные'!$D$2:$D$953,Z$3,'Исходные данные'!$F$2:$F$953,$H11&amp;"")&amp;"="&amp;SUMIFS('Исходные данные'!$J$2:$J$953,'Исходные данные'!$D$2:$D$953,Z$3,'Исходные данные'!$F$2:$F$953,$H11&amp;""),SUMIFS('Исходные данные'!$I$2:$I$953,'Исходные данные'!$D$2:$D$953,Z$3,'Исходные данные'!$F$2:$F$953,$H11&amp;"")&amp;"+"&amp;SUMIFS('Исходные данные'!$J$2:$J$953,'Исходные данные'!$D$2:$D$953,Z$3,'Исходные данные'!$F$2:$F$953,$H11&amp;"")&amp;"="&amp;(SUMIFS('Исходные данные'!$I$2:$I$953,'Исходные данные'!$D$2:$D$953,Z$3,'Исходные данные'!$F$2:$F$953,$H11&amp;"")+SUMIFS('Исходные данные'!$J$2:$J$953,'Исходные данные'!$D$2:$D$953,Z$3,'Исходные данные'!$F$2:$F$953,$H11&amp;"")))))</f>
        <v/>
      </c>
      <c r="AA11" s="37">
        <f>IF(SUMIFS('Исходные данные'!$I$2:$I$953,'Исходные данные'!$D$2:$D$953,AA$3,'Исходные данные'!$F$2:$F$953,$H11&amp;"")+SUMIFS('Исходные данные'!$J$2:$J$953,'Исходные данные'!$D$2:$D$953,AA$3,'Исходные данные'!$F$2:$F$953,$H11&amp;"")=0,"",IF(SUMIFS('Исходные данные'!$J$2:$J$953,'Исходные данные'!$D$2:$D$953,AA$3,'Исходные данные'!$F$2:$F$953,$H11&amp;"")=0,SUMIFS('Исходные данные'!$I$2:$I$953,'Исходные данные'!$D$2:$D$953,AA$3,'Исходные данные'!$F$2:$F$953,$H11&amp;""),IF(SUMIFS('Исходные данные'!$I$2:$I$953,'Исходные данные'!$D$2:$D$953,AA$3,'Исходные данные'!$F$2:$F$953,$H11&amp;"")=0,"0+"&amp;SUMIFS('Исходные данные'!$J$2:$J$953,'Исходные данные'!$D$2:$D$953,AA$3,'Исходные данные'!$F$2:$F$953,$H11&amp;"")&amp;"="&amp;SUMIFS('Исходные данные'!$J$2:$J$953,'Исходные данные'!$D$2:$D$953,AA$3,'Исходные данные'!$F$2:$F$953,$H11&amp;""),SUMIFS('Исходные данные'!$I$2:$I$953,'Исходные данные'!$D$2:$D$953,AA$3,'Исходные данные'!$F$2:$F$953,$H11&amp;"")&amp;"+"&amp;SUMIFS('Исходные данные'!$J$2:$J$953,'Исходные данные'!$D$2:$D$953,AA$3,'Исходные данные'!$F$2:$F$953,$H11&amp;"")&amp;"="&amp;(SUMIFS('Исходные данные'!$I$2:$I$953,'Исходные данные'!$D$2:$D$953,AA$3,'Исходные данные'!$F$2:$F$953,$H11&amp;"")+SUMIFS('Исходные данные'!$J$2:$J$953,'Исходные данные'!$D$2:$D$953,AA$3,'Исходные данные'!$F$2:$F$953,$H11&amp;"")))))</f>
        <v/>
      </c>
      <c r="AB11" s="37" t="n"/>
      <c r="AC11" s="39">
        <f>IF(SUMIFS('Исходные данные'!$I$2:$I$953,'Исходные данные'!$D$2:$D$953,AC$3,'Исходные данные'!$F$2:$F$953,$H11&amp;"")+SUMIFS('Исходные данные'!$J$2:$J$953,'Исходные данные'!$D$2:$D$953,AC$3,'Исходные данные'!$F$2:$F$953,$H11&amp;"")=0,"",IF(SUMIFS('Исходные данные'!$J$2:$J$953,'Исходные данные'!$D$2:$D$953,AC$3,'Исходные данные'!$F$2:$F$953,$H11&amp;"")=0,SUMIFS('Исходные данные'!$I$2:$I$953,'Исходные данные'!$D$2:$D$953,AC$3,'Исходные данные'!$F$2:$F$953,$H11&amp;""),IF(SUMIFS('Исходные данные'!$I$2:$I$953,'Исходные данные'!$D$2:$D$953,AC$3,'Исходные данные'!$F$2:$F$953,$H11&amp;"")=0,"0+"&amp;SUMIFS('Исходные данные'!$J$2:$J$953,'Исходные данные'!$D$2:$D$953,AC$3,'Исходные данные'!$F$2:$F$953,$H11&amp;"")&amp;"="&amp;SUMIFS('Исходные данные'!$J$2:$J$953,'Исходные данные'!$D$2:$D$953,AC$3,'Исходные данные'!$F$2:$F$953,$H11&amp;""),SUMIFS('Исходные данные'!$I$2:$I$953,'Исходные данные'!$D$2:$D$953,AC$3,'Исходные данные'!$F$2:$F$953,$H11&amp;"")&amp;"+"&amp;SUMIFS('Исходные данные'!$J$2:$J$953,'Исходные данные'!$D$2:$D$953,AC$3,'Исходные данные'!$F$2:$F$953,$H11&amp;"")&amp;"="&amp;(SUMIFS('Исходные данные'!$I$2:$I$953,'Исходные данные'!$D$2:$D$953,AC$3,'Исходные данные'!$F$2:$F$953,$H11&amp;"")+SUMIFS('Исходные данные'!$J$2:$J$953,'Исходные данные'!$D$2:$D$953,AC$3,'Исходные данные'!$F$2:$F$953,$H11&amp;"")))))</f>
        <v/>
      </c>
      <c r="AD11" s="37">
        <f>IF(SUMIFS('Исходные данные'!$I$2:$I$953,'Исходные данные'!$D$2:$D$953,AD$3,'Исходные данные'!$F$2:$F$953,$H11&amp;"")+SUMIFS('Исходные данные'!$J$2:$J$953,'Исходные данные'!$D$2:$D$953,AD$3,'Исходные данные'!$F$2:$F$953,$H11&amp;"")=0,"",IF(SUMIFS('Исходные данные'!$J$2:$J$953,'Исходные данные'!$D$2:$D$953,AD$3,'Исходные данные'!$F$2:$F$953,$H11&amp;"")=0,SUMIFS('Исходные данные'!$I$2:$I$953,'Исходные данные'!$D$2:$D$953,AD$3,'Исходные данные'!$F$2:$F$953,$H11&amp;""),IF(SUMIFS('Исходные данные'!$I$2:$I$953,'Исходные данные'!$D$2:$D$953,AD$3,'Исходные данные'!$F$2:$F$953,$H11&amp;"")=0,"0+"&amp;SUMIFS('Исходные данные'!$J$2:$J$953,'Исходные данные'!$D$2:$D$953,AD$3,'Исходные данные'!$F$2:$F$953,$H11&amp;"")&amp;"="&amp;SUMIFS('Исходные данные'!$J$2:$J$953,'Исходные данные'!$D$2:$D$953,AD$3,'Исходные данные'!$F$2:$F$953,$H11&amp;""),SUMIFS('Исходные данные'!$I$2:$I$953,'Исходные данные'!$D$2:$D$953,AD$3,'Исходные данные'!$F$2:$F$953,$H11&amp;"")&amp;"+"&amp;SUMIFS('Исходные данные'!$J$2:$J$953,'Исходные данные'!$D$2:$D$953,AD$3,'Исходные данные'!$F$2:$F$953,$H11&amp;"")&amp;"="&amp;(SUMIFS('Исходные данные'!$I$2:$I$953,'Исходные данные'!$D$2:$D$953,AD$3,'Исходные данные'!$F$2:$F$953,$H11&amp;"")+SUMIFS('Исходные данные'!$J$2:$J$953,'Исходные данные'!$D$2:$D$953,AD$3,'Исходные данные'!$F$2:$F$953,$H11&amp;"")))))</f>
        <v/>
      </c>
    </row>
    <row r="12" ht="25.5" customHeight="1">
      <c r="A12" s="26" t="n">
        <v>10</v>
      </c>
      <c r="B12" s="95" t="n"/>
      <c r="C12" s="117" t="n"/>
      <c r="D12" s="118" t="n"/>
      <c r="E12" s="117" t="n"/>
      <c r="F12" s="117" t="n"/>
      <c r="G12" s="102" t="n"/>
      <c r="H12" s="56" t="n"/>
      <c r="I12" s="41" t="n"/>
      <c r="J12" s="73" t="n"/>
      <c r="K12" s="67" t="n"/>
      <c r="L12" s="85" t="n"/>
      <c r="M12" s="79" t="n"/>
      <c r="N12" s="79" t="n"/>
      <c r="O12" s="42">
        <f>IF(SUMIFS('Исходные данные'!$I$2:$I$953,'Исходные данные'!$D$2:$D$953,O$3,'Исходные данные'!$F$2:$F$953,$H13&amp;"",'Исходные данные'!$L$2:$L$953,"УТТ")+SUMIFS('Исходные данные'!$J$2:$J$953,'Исходные данные'!$D$2:$D$953,O$3,'Исходные данные'!$F$2:$F$953,$H13&amp;"",'Исходные данные'!$L$2:$L$953,"УТТ")=0,"","утт-"&amp;(SUMIFS('Исходные данные'!$I$2:$I$953,'Исходные данные'!$D$2:$D$953,O$3,'Исходные данные'!$F$2:$F$953,$H13&amp;"",'Исходные данные'!$L$2:$L$953,"УТТ")+SUMIFS('Исходные данные'!$J$2:$J$953,'Исходные данные'!$D$2:$D$953,O$3,'Исходные данные'!$F$2:$F$953,$H13&amp;"",'Исходные данные'!$L$2:$L$953,"УТТ")))</f>
        <v/>
      </c>
      <c r="P12" s="43">
        <f>IF(SUMIFS('Исходные данные'!$I$2:$I$953,'Исходные данные'!$D$2:$D$953,P$3,'Исходные данные'!$F$2:$F$953,$H13&amp;"",'Исходные данные'!$L$2:$L$953,"УТТ")+SUMIFS('Исходные данные'!$J$2:$J$953,'Исходные данные'!$D$2:$D$953,P$3,'Исходные данные'!$F$2:$F$953,$H13&amp;"",'Исходные данные'!$L$2:$L$953,"УТТ")=0,"","утт-"&amp;(SUMIFS('Исходные данные'!$I$2:$I$953,'Исходные данные'!$D$2:$D$953,P$3,'Исходные данные'!$F$2:$F$953,$H13&amp;"",'Исходные данные'!$L$2:$L$953,"УТТ")+SUMIFS('Исходные данные'!$J$2:$J$953,'Исходные данные'!$D$2:$D$953,P$3,'Исходные данные'!$F$2:$F$953,$H13&amp;"",'Исходные данные'!$L$2:$L$953,"УТТ")))</f>
        <v/>
      </c>
      <c r="Q12" s="42">
        <f>IF(SUMIFS('Исходные данные'!$I$2:$I$953,'Исходные данные'!$D$2:$D$953,Q$3,'Исходные данные'!$F$2:$F$953,$H13&amp;"",'Исходные данные'!$L$2:$L$953,"УТТ")+SUMIFS('Исходные данные'!$J$2:$J$953,'Исходные данные'!$D$2:$D$953,Q$3,'Исходные данные'!$F$2:$F$953,$H13&amp;"",'Исходные данные'!$L$2:$L$953,"УТТ")=0,"","утт-"&amp;(SUMIFS('Исходные данные'!$I$2:$I$953,'Исходные данные'!$D$2:$D$953,Q$3,'Исходные данные'!$F$2:$F$953,$H13&amp;"",'Исходные данные'!$L$2:$L$953,"УТТ")+SUMIFS('Исходные данные'!$J$2:$J$953,'Исходные данные'!$D$2:$D$953,Q$3,'Исходные данные'!$F$2:$F$953,$H13&amp;"",'Исходные данные'!$L$2:$L$953,"УТТ")))</f>
        <v/>
      </c>
      <c r="R12" s="44">
        <f>IF(SUMIFS('Исходные данные'!$I$2:$I$953,'Исходные данные'!$D$2:$D$953,R$3,'Исходные данные'!$F$2:$F$953,$H13&amp;"",'Исходные данные'!$L$2:$L$953,"УТТ")+SUMIFS('Исходные данные'!$J$2:$J$953,'Исходные данные'!$D$2:$D$953,R$3,'Исходные данные'!$F$2:$F$953,$H13&amp;"",'Исходные данные'!$L$2:$L$953,"УТТ")=0,"","утт-"&amp;(SUMIFS('Исходные данные'!$I$2:$I$953,'Исходные данные'!$D$2:$D$953,R$3,'Исходные данные'!$F$2:$F$953,$H13&amp;"",'Исходные данные'!$L$2:$L$953,"УТТ")+SUMIFS('Исходные данные'!$J$2:$J$953,'Исходные данные'!$D$2:$D$953,R$3,'Исходные данные'!$F$2:$F$953,$H13&amp;"",'Исходные данные'!$L$2:$L$953,"УТТ")))</f>
        <v/>
      </c>
      <c r="S12" s="43">
        <f>IF(SUMIFS('Исходные данные'!$I$2:$I$953,'Исходные данные'!$D$2:$D$953,S$3,'Исходные данные'!$F$2:$F$953,$H13&amp;"",'Исходные данные'!$L$2:$L$953,"УТТ")+SUMIFS('Исходные данные'!$J$2:$J$953,'Исходные данные'!$D$2:$D$953,S$3,'Исходные данные'!$F$2:$F$953,$H13&amp;"",'Исходные данные'!$L$2:$L$953,"УТТ")=0,"","утт-"&amp;(SUMIFS('Исходные данные'!$I$2:$I$953,'Исходные данные'!$D$2:$D$953,S$3,'Исходные данные'!$F$2:$F$953,$H13&amp;"",'Исходные данные'!$L$2:$L$953,"УТТ")+SUMIFS('Исходные данные'!$J$2:$J$953,'Исходные данные'!$D$2:$D$953,S$3,'Исходные данные'!$F$2:$F$953,$H13&amp;"",'Исходные данные'!$L$2:$L$953,"УТТ")))</f>
        <v/>
      </c>
      <c r="T12" s="42">
        <f>IF(SUMIFS('Исходные данные'!$I$2:$I$953,'Исходные данные'!$D$2:$D$953,T$3,'Исходные данные'!$F$2:$F$953,$H13&amp;"",'Исходные данные'!$L$2:$L$953,"УТТ")+SUMIFS('Исходные данные'!$J$2:$J$953,'Исходные данные'!$D$2:$D$953,T$3,'Исходные данные'!$F$2:$F$953,$H13&amp;"",'Исходные данные'!$L$2:$L$953,"УТТ")=0,"","утт-"&amp;(SUMIFS('Исходные данные'!$I$2:$I$953,'Исходные данные'!$D$2:$D$953,T$3,'Исходные данные'!$F$2:$F$953,$H13&amp;"",'Исходные данные'!$L$2:$L$953,"УТТ")+SUMIFS('Исходные данные'!$J$2:$J$953,'Исходные данные'!$D$2:$D$953,T$3,'Исходные данные'!$F$2:$F$953,$H13&amp;"",'Исходные данные'!$L$2:$L$953,"УТТ")))</f>
        <v/>
      </c>
      <c r="U12" s="43">
        <f>IF(SUMIFS('Исходные данные'!$I$2:$I$953,'Исходные данные'!$D$2:$D$953,U$3,'Исходные данные'!$F$2:$F$953,$H13&amp;"",'Исходные данные'!$L$2:$L$953,"УТТ")+SUMIFS('Исходные данные'!$J$2:$J$953,'Исходные данные'!$D$2:$D$953,U$3,'Исходные данные'!$F$2:$F$953,$H13&amp;"",'Исходные данные'!$L$2:$L$953,"УТТ")=0,"","утт-"&amp;(SUMIFS('Исходные данные'!$I$2:$I$953,'Исходные данные'!$D$2:$D$953,U$3,'Исходные данные'!$F$2:$F$953,$H13&amp;"",'Исходные данные'!$L$2:$L$953,"УТТ")+SUMIFS('Исходные данные'!$J$2:$J$953,'Исходные данные'!$D$2:$D$953,U$3,'Исходные данные'!$F$2:$F$953,$H13&amp;"",'Исходные данные'!$L$2:$L$953,"УТТ")))</f>
        <v/>
      </c>
      <c r="V12" s="42">
        <f>IF(SUMIFS('Исходные данные'!$I$2:$I$953,'Исходные данные'!$D$2:$D$953,V$3,'Исходные данные'!$F$2:$F$953,$H13&amp;"",'Исходные данные'!$L$2:$L$953,"УТТ")+SUMIFS('Исходные данные'!$J$2:$J$953,'Исходные данные'!$D$2:$D$953,V$3,'Исходные данные'!$F$2:$F$953,$H13&amp;"",'Исходные данные'!$L$2:$L$953,"УТТ")=0,"","утт-"&amp;(SUMIFS('Исходные данные'!$I$2:$I$953,'Исходные данные'!$D$2:$D$953,V$3,'Исходные данные'!$F$2:$F$953,$H13&amp;"",'Исходные данные'!$L$2:$L$953,"УТТ")+SUMIFS('Исходные данные'!$J$2:$J$953,'Исходные данные'!$D$2:$D$953,V$3,'Исходные данные'!$F$2:$F$953,$H13&amp;"",'Исходные данные'!$L$2:$L$953,"УТТ")))</f>
        <v/>
      </c>
      <c r="W12" s="43">
        <f>IF(SUMIFS('Исходные данные'!$I$2:$I$953,'Исходные данные'!$D$2:$D$953,W$3,'Исходные данные'!$F$2:$F$953,$H13&amp;"",'Исходные данные'!$L$2:$L$953,"УТТ")+SUMIFS('Исходные данные'!$J$2:$J$953,'Исходные данные'!$D$2:$D$953,W$3,'Исходные данные'!$F$2:$F$953,$H13&amp;"",'Исходные данные'!$L$2:$L$953,"УТТ")=0,"","утт-"&amp;(SUMIFS('Исходные данные'!$I$2:$I$953,'Исходные данные'!$D$2:$D$953,W$3,'Исходные данные'!$F$2:$F$953,$H13&amp;"",'Исходные данные'!$L$2:$L$953,"УТТ")+SUMIFS('Исходные данные'!$J$2:$J$953,'Исходные данные'!$D$2:$D$953,W$3,'Исходные данные'!$F$2:$F$953,$H13&amp;"",'Исходные данные'!$L$2:$L$953,"УТТ")))</f>
        <v/>
      </c>
      <c r="X12" s="43">
        <f>IF(SUMIFS('Исходные данные'!$I$2:$I$953,'Исходные данные'!$D$2:$D$953,X$3,'Исходные данные'!$F$2:$F$953,$H13&amp;"",'Исходные данные'!$L$2:$L$953,"УТТ")+SUMIFS('Исходные данные'!$J$2:$J$953,'Исходные данные'!$D$2:$D$953,X$3,'Исходные данные'!$F$2:$F$953,$H13&amp;"",'Исходные данные'!$L$2:$L$953,"УТТ")=0,"","утт-"&amp;(SUMIFS('Исходные данные'!$I$2:$I$953,'Исходные данные'!$D$2:$D$953,X$3,'Исходные данные'!$F$2:$F$953,$H13&amp;"",'Исходные данные'!$L$2:$L$953,"УТТ")+SUMIFS('Исходные данные'!$J$2:$J$953,'Исходные данные'!$D$2:$D$953,X$3,'Исходные данные'!$F$2:$F$953,$H13&amp;"",'Исходные данные'!$L$2:$L$953,"УТТ")))</f>
        <v/>
      </c>
      <c r="Y12" s="45">
        <f>IF(SUMIFS('Исходные данные'!$I$2:$I$953,'Исходные данные'!$D$2:$D$953,Y$3,'Исходные данные'!$F$2:$F$953,$H13&amp;"",'Исходные данные'!$L$2:$L$953,"УТТ")+SUMIFS('Исходные данные'!$J$2:$J$953,'Исходные данные'!$D$2:$D$953,Y$3,'Исходные данные'!$F$2:$F$953,$H13&amp;"",'Исходные данные'!$L$2:$L$953,"УТТ")=0,"","утт-"&amp;(SUMIFS('Исходные данные'!$I$2:$I$953,'Исходные данные'!$D$2:$D$953,Y$3,'Исходные данные'!$F$2:$F$953,$H13&amp;"",'Исходные данные'!$L$2:$L$953,"УТТ")+SUMIFS('Исходные данные'!$J$2:$J$953,'Исходные данные'!$D$2:$D$953,Y$3,'Исходные данные'!$F$2:$F$953,$H13&amp;"",'Исходные данные'!$L$2:$L$953,"УТТ")))</f>
        <v/>
      </c>
      <c r="Z12" s="42">
        <f>IF(SUMIFS('Исходные данные'!$I$2:$I$953,'Исходные данные'!$D$2:$D$953,Z$3,'Исходные данные'!$F$2:$F$953,$H13&amp;"",'Исходные данные'!$L$2:$L$953,"УТТ")+SUMIFS('Исходные данные'!$J$2:$J$953,'Исходные данные'!$D$2:$D$953,Z$3,'Исходные данные'!$F$2:$F$953,$H13&amp;"",'Исходные данные'!$L$2:$L$953,"УТТ")=0,"","утт-"&amp;(SUMIFS('Исходные данные'!$I$2:$I$953,'Исходные данные'!$D$2:$D$953,Z$3,'Исходные данные'!$F$2:$F$953,$H13&amp;"",'Исходные данные'!$L$2:$L$953,"УТТ")+SUMIFS('Исходные данные'!$J$2:$J$953,'Исходные данные'!$D$2:$D$953,Z$3,'Исходные данные'!$F$2:$F$953,$H13&amp;"",'Исходные данные'!$L$2:$L$953,"УТТ")))</f>
        <v/>
      </c>
      <c r="AA12" s="43">
        <f>IF(SUMIFS('Исходные данные'!$I$2:$I$953,'Исходные данные'!$D$2:$D$953,AA$3,'Исходные данные'!$F$2:$F$953,$H13&amp;"",'Исходные данные'!$L$2:$L$953,"УТТ")+SUMIFS('Исходные данные'!$J$2:$J$953,'Исходные данные'!$D$2:$D$953,AA$3,'Исходные данные'!$F$2:$F$953,$H13&amp;"",'Исходные данные'!$L$2:$L$953,"УТТ")=0,"","утт-"&amp;(SUMIFS('Исходные данные'!$I$2:$I$953,'Исходные данные'!$D$2:$D$953,AA$3,'Исходные данные'!$F$2:$F$953,$H13&amp;"",'Исходные данные'!$L$2:$L$953,"УТТ")+SUMIFS('Исходные данные'!$J$2:$J$953,'Исходные данные'!$D$2:$D$953,AA$3,'Исходные данные'!$F$2:$F$953,$H13&amp;"",'Исходные данные'!$L$2:$L$953,"УТТ")))</f>
        <v/>
      </c>
      <c r="AB12" s="43" t="n"/>
      <c r="AC12" s="42">
        <f>IF(SUMIFS('Исходные данные'!$I$2:$I$953,'Исходные данные'!$D$2:$D$953,AC$3,'Исходные данные'!$F$2:$F$953,$H13&amp;"",'Исходные данные'!$L$2:$L$953,"УТТ")+SUMIFS('Исходные данные'!$J$2:$J$953,'Исходные данные'!$D$2:$D$953,AC$3,'Исходные данные'!$F$2:$F$953,$H13&amp;"",'Исходные данные'!$L$2:$L$953,"УТТ")=0,"","утт-"&amp;(SUMIFS('Исходные данные'!$I$2:$I$953,'Исходные данные'!$D$2:$D$953,AC$3,'Исходные данные'!$F$2:$F$953,$H13&amp;"",'Исходные данные'!$L$2:$L$953,"УТТ")+SUMIFS('Исходные данные'!$J$2:$J$953,'Исходные данные'!$D$2:$D$953,AC$3,'Исходные данные'!$F$2:$F$953,$H13&amp;"",'Исходные данные'!$L$2:$L$953,"УТТ")))</f>
        <v/>
      </c>
      <c r="AD12" s="43">
        <f>IF(SUMIFS('Исходные данные'!$I$2:$I$953,'Исходные данные'!$D$2:$D$953,AD$3,'Исходные данные'!$F$2:$F$953,$H13&amp;"",'Исходные данные'!$L$2:$L$953,"УТТ")+SUMIFS('Исходные данные'!$J$2:$J$953,'Исходные данные'!$D$2:$D$953,AD$3,'Исходные данные'!$F$2:$F$953,$H13&amp;"",'Исходные данные'!$L$2:$L$953,"УТТ")=0,"","утт-"&amp;(SUMIFS('Исходные данные'!$I$2:$I$953,'Исходные данные'!$D$2:$D$953,AD$3,'Исходные данные'!$F$2:$F$953,$H13&amp;"",'Исходные данные'!$L$2:$L$953,"УТТ")+SUMIFS('Исходные данные'!$J$2:$J$953,'Исходные данные'!$D$2:$D$953,AD$3,'Исходные данные'!$F$2:$F$953,$H13&amp;"",'Исходные данные'!$L$2:$L$953,"УТТ")))</f>
        <v/>
      </c>
    </row>
    <row r="13" ht="25.5" customHeight="1">
      <c r="A13" s="26" t="n">
        <v>11</v>
      </c>
      <c r="B13" s="95" t="n"/>
      <c r="C13" s="117" t="n"/>
      <c r="D13" s="118" t="n"/>
      <c r="E13" s="117" t="n"/>
      <c r="F13" s="117" t="n"/>
      <c r="G13" s="102" t="n"/>
      <c r="H13" s="56" t="n">
        <v>22</v>
      </c>
      <c r="I13" s="35" t="inlineStr">
        <is>
          <t>ТРАЛ</t>
        </is>
      </c>
      <c r="J13" s="72">
        <f>IFERROR(INDEX('Выход ТС'!$C:$C,MATCH($H13&amp;"",'Выход ТС'!$A:$A,0)),"")</f>
        <v/>
      </c>
      <c r="K13" s="66">
        <f>IFERROR(INDEX('Выход ТС'!$D:$D,MATCH($H13&amp;"",'Выход ТС'!$A:$A,0)),"")</f>
        <v/>
      </c>
      <c r="L13" s="84">
        <f>IFERROR(INDEX('Выход ТС'!$E:$E,MATCH($H13&amp;"",'Выход ТС'!$A:$A,0)),"")</f>
        <v/>
      </c>
      <c r="M13" s="78">
        <f>IFERROR(IF(INDEX('Выход ТС'!$F:$F,MATCH($H13&amp;"",'Выход ТС'!$A:$A,0))=0,"",INDEX('Выход ТС'!$F:$F,MATCH($H13&amp;"",'Выход ТС'!$A:$A,0))),"")</f>
        <v/>
      </c>
      <c r="N13" s="78">
        <f>IFERROR(IF(INDEX('Выход ТС'!$G:$G,MATCH($H13&amp;"",'Выход ТС'!$A:$A,0))=0,"",INDEX('Выход ТС'!$G:$G,MATCH($H13&amp;"",'Выход ТС'!$A:$A,0))),"")</f>
        <v/>
      </c>
      <c r="O13" s="39">
        <f>IF(SUMIFS('Исходные данные'!$I$2:$I$953,'Исходные данные'!$D$2:$D$953,O$3,'Исходные данные'!$F$2:$F$953,$H13&amp;"")+SUMIFS('Исходные данные'!$J$2:$J$953,'Исходные данные'!$D$2:$D$953,O$3,'Исходные данные'!$F$2:$F$953,$H13&amp;"")=0,"",IF(SUMIFS('Исходные данные'!$J$2:$J$953,'Исходные данные'!$D$2:$D$953,O$3,'Исходные данные'!$F$2:$F$953,$H13&amp;"")=0,SUMIFS('Исходные данные'!$I$2:$I$953,'Исходные данные'!$D$2:$D$953,O$3,'Исходные данные'!$F$2:$F$953,$H13&amp;""),IF(SUMIFS('Исходные данные'!$I$2:$I$953,'Исходные данные'!$D$2:$D$953,O$3,'Исходные данные'!$F$2:$F$953,$H13&amp;"")=0,"0+"&amp;SUMIFS('Исходные данные'!$J$2:$J$953,'Исходные данные'!$D$2:$D$953,O$3,'Исходные данные'!$F$2:$F$953,$H13&amp;"")&amp;"="&amp;SUMIFS('Исходные данные'!$J$2:$J$953,'Исходные данные'!$D$2:$D$953,O$3,'Исходные данные'!$F$2:$F$953,$H13&amp;""),SUMIFS('Исходные данные'!$I$2:$I$953,'Исходные данные'!$D$2:$D$953,O$3,'Исходные данные'!$F$2:$F$953,$H13&amp;"")&amp;"+"&amp;SUMIFS('Исходные данные'!$J$2:$J$953,'Исходные данные'!$D$2:$D$953,O$3,'Исходные данные'!$F$2:$F$953,$H13&amp;"")&amp;"="&amp;(SUMIFS('Исходные данные'!$I$2:$I$953,'Исходные данные'!$D$2:$D$953,O$3,'Исходные данные'!$F$2:$F$953,$H13&amp;"")+SUMIFS('Исходные данные'!$J$2:$J$953,'Исходные данные'!$D$2:$D$953,O$3,'Исходные данные'!$F$2:$F$953,$H13&amp;"")))))</f>
        <v/>
      </c>
      <c r="P13" s="37">
        <f>IF(SUMIFS('Исходные данные'!$I$2:$I$953,'Исходные данные'!$D$2:$D$953,P$3,'Исходные данные'!$F$2:$F$953,$H13&amp;"")+SUMIFS('Исходные данные'!$J$2:$J$953,'Исходные данные'!$D$2:$D$953,P$3,'Исходные данные'!$F$2:$F$953,$H13&amp;"")=0,"",IF(SUMIFS('Исходные данные'!$J$2:$J$953,'Исходные данные'!$D$2:$D$953,P$3,'Исходные данные'!$F$2:$F$953,$H13&amp;"")=0,SUMIFS('Исходные данные'!$I$2:$I$953,'Исходные данные'!$D$2:$D$953,P$3,'Исходные данные'!$F$2:$F$953,$H13&amp;""),IF(SUMIFS('Исходные данные'!$I$2:$I$953,'Исходные данные'!$D$2:$D$953,P$3,'Исходные данные'!$F$2:$F$953,$H13&amp;"")=0,"0+"&amp;SUMIFS('Исходные данные'!$J$2:$J$953,'Исходные данные'!$D$2:$D$953,P$3,'Исходные данные'!$F$2:$F$953,$H13&amp;"")&amp;"="&amp;SUMIFS('Исходные данные'!$J$2:$J$953,'Исходные данные'!$D$2:$D$953,P$3,'Исходные данные'!$F$2:$F$953,$H13&amp;""),SUMIFS('Исходные данные'!$I$2:$I$953,'Исходные данные'!$D$2:$D$953,P$3,'Исходные данные'!$F$2:$F$953,$H13&amp;"")&amp;"+"&amp;SUMIFS('Исходные данные'!$J$2:$J$953,'Исходные данные'!$D$2:$D$953,P$3,'Исходные данные'!$F$2:$F$953,$H13&amp;"")&amp;"="&amp;(SUMIFS('Исходные данные'!$I$2:$I$953,'Исходные данные'!$D$2:$D$953,P$3,'Исходные данные'!$F$2:$F$953,$H13&amp;"")+SUMIFS('Исходные данные'!$J$2:$J$953,'Исходные данные'!$D$2:$D$953,P$3,'Исходные данные'!$F$2:$F$953,$H13&amp;"")))))</f>
        <v/>
      </c>
      <c r="Q13" s="37">
        <f>IF(SUMIFS('Исходные данные'!$I$2:$I$953,'Исходные данные'!$D$2:$D$953,Q$3,'Исходные данные'!$F$2:$F$953,$H13&amp;"")+SUMIFS('Исходные данные'!$J$2:$J$953,'Исходные данные'!$D$2:$D$953,Q$3,'Исходные данные'!$F$2:$F$953,$H13&amp;"")=0,"",IF(SUMIFS('Исходные данные'!$J$2:$J$953,'Исходные данные'!$D$2:$D$953,Q$3,'Исходные данные'!$F$2:$F$953,$H13&amp;"")=0,SUMIFS('Исходные данные'!$I$2:$I$953,'Исходные данные'!$D$2:$D$953,Q$3,'Исходные данные'!$F$2:$F$953,$H13&amp;""),IF(SUMIFS('Исходные данные'!$I$2:$I$953,'Исходные данные'!$D$2:$D$953,Q$3,'Исходные данные'!$F$2:$F$953,$H13&amp;"")=0,"0+"&amp;SUMIFS('Исходные данные'!$J$2:$J$953,'Исходные данные'!$D$2:$D$953,Q$3,'Исходные данные'!$F$2:$F$953,$H13&amp;"")&amp;"="&amp;SUMIFS('Исходные данные'!$J$2:$J$953,'Исходные данные'!$D$2:$D$953,Q$3,'Исходные данные'!$F$2:$F$953,$H13&amp;""),SUMIFS('Исходные данные'!$I$2:$I$953,'Исходные данные'!$D$2:$D$953,Q$3,'Исходные данные'!$F$2:$F$953,$H13&amp;"")&amp;"+"&amp;SUMIFS('Исходные данные'!$J$2:$J$953,'Исходные данные'!$D$2:$D$953,Q$3,'Исходные данные'!$F$2:$F$953,$H13&amp;"")&amp;"="&amp;(SUMIFS('Исходные данные'!$I$2:$I$953,'Исходные данные'!$D$2:$D$953,Q$3,'Исходные данные'!$F$2:$F$953,$H13&amp;"")+SUMIFS('Исходные данные'!$J$2:$J$953,'Исходные данные'!$D$2:$D$953,Q$3,'Исходные данные'!$F$2:$F$953,$H13&amp;"")))))</f>
        <v/>
      </c>
      <c r="R13" s="38">
        <f>IF(SUMIFS('Исходные данные'!$I$2:$I$953,'Исходные данные'!$D$2:$D$953,R$3,'Исходные данные'!$F$2:$F$953,$H13&amp;"")+SUMIFS('Исходные данные'!$J$2:$J$953,'Исходные данные'!$D$2:$D$953,R$3,'Исходные данные'!$F$2:$F$953,$H13&amp;"")=0,"",IF(SUMIFS('Исходные данные'!$J$2:$J$953,'Исходные данные'!$D$2:$D$953,R$3,'Исходные данные'!$F$2:$F$953,$H13&amp;"")=0,SUMIFS('Исходные данные'!$I$2:$I$953,'Исходные данные'!$D$2:$D$953,R$3,'Исходные данные'!$F$2:$F$953,$H13&amp;""),IF(SUMIFS('Исходные данные'!$I$2:$I$953,'Исходные данные'!$D$2:$D$953,R$3,'Исходные данные'!$F$2:$F$953,$H13&amp;"")=0,"0+"&amp;SUMIFS('Исходные данные'!$J$2:$J$953,'Исходные данные'!$D$2:$D$953,R$3,'Исходные данные'!$F$2:$F$953,$H13&amp;"")&amp;"="&amp;SUMIFS('Исходные данные'!$J$2:$J$953,'Исходные данные'!$D$2:$D$953,R$3,'Исходные данные'!$F$2:$F$953,$H13&amp;""),SUMIFS('Исходные данные'!$I$2:$I$953,'Исходные данные'!$D$2:$D$953,R$3,'Исходные данные'!$F$2:$F$953,$H13&amp;"")&amp;"+"&amp;SUMIFS('Исходные данные'!$J$2:$J$953,'Исходные данные'!$D$2:$D$953,R$3,'Исходные данные'!$F$2:$F$953,$H13&amp;"")&amp;"="&amp;(SUMIFS('Исходные данные'!$I$2:$I$953,'Исходные данные'!$D$2:$D$953,R$3,'Исходные данные'!$F$2:$F$953,$H13&amp;"")+SUMIFS('Исходные данные'!$J$2:$J$953,'Исходные данные'!$D$2:$D$953,R$3,'Исходные данные'!$F$2:$F$953,$H13&amp;"")))))</f>
        <v/>
      </c>
      <c r="S13" s="37">
        <f>IF(SUMIFS('Исходные данные'!$I$2:$I$953,'Исходные данные'!$D$2:$D$953,S$3,'Исходные данные'!$F$2:$F$953,$H13&amp;"")+SUMIFS('Исходные данные'!$J$2:$J$953,'Исходные данные'!$D$2:$D$953,S$3,'Исходные данные'!$F$2:$F$953,$H13&amp;"")=0,"",IF(SUMIFS('Исходные данные'!$J$2:$J$953,'Исходные данные'!$D$2:$D$953,S$3,'Исходные данные'!$F$2:$F$953,$H13&amp;"")=0,SUMIFS('Исходные данные'!$I$2:$I$953,'Исходные данные'!$D$2:$D$953,S$3,'Исходные данные'!$F$2:$F$953,$H13&amp;""),IF(SUMIFS('Исходные данные'!$I$2:$I$953,'Исходные данные'!$D$2:$D$953,S$3,'Исходные данные'!$F$2:$F$953,$H13&amp;"")=0,"0+"&amp;SUMIFS('Исходные данные'!$J$2:$J$953,'Исходные данные'!$D$2:$D$953,S$3,'Исходные данные'!$F$2:$F$953,$H13&amp;"")&amp;"="&amp;SUMIFS('Исходные данные'!$J$2:$J$953,'Исходные данные'!$D$2:$D$953,S$3,'Исходные данные'!$F$2:$F$953,$H13&amp;""),SUMIFS('Исходные данные'!$I$2:$I$953,'Исходные данные'!$D$2:$D$953,S$3,'Исходные данные'!$F$2:$F$953,$H13&amp;"")&amp;"+"&amp;SUMIFS('Исходные данные'!$J$2:$J$953,'Исходные данные'!$D$2:$D$953,S$3,'Исходные данные'!$F$2:$F$953,$H13&amp;"")&amp;"="&amp;(SUMIFS('Исходные данные'!$I$2:$I$953,'Исходные данные'!$D$2:$D$953,S$3,'Исходные данные'!$F$2:$F$953,$H13&amp;"")+SUMIFS('Исходные данные'!$J$2:$J$953,'Исходные данные'!$D$2:$D$953,S$3,'Исходные данные'!$F$2:$F$953,$H13&amp;"")))))</f>
        <v/>
      </c>
      <c r="T13" s="36">
        <f>IF(SUMIFS('Исходные данные'!$I$2:$I$953,'Исходные данные'!$D$2:$D$953,T$3,'Исходные данные'!$F$2:$F$953,$H13&amp;"")+SUMIFS('Исходные данные'!$J$2:$J$953,'Исходные данные'!$D$2:$D$953,T$3,'Исходные данные'!$F$2:$F$953,$H13&amp;"")=0,"",IF(SUMIFS('Исходные данные'!$J$2:$J$953,'Исходные данные'!$D$2:$D$953,T$3,'Исходные данные'!$F$2:$F$953,$H13&amp;"")=0,SUMIFS('Исходные данные'!$I$2:$I$953,'Исходные данные'!$D$2:$D$953,T$3,'Исходные данные'!$F$2:$F$953,$H13&amp;""),IF(SUMIFS('Исходные данные'!$I$2:$I$953,'Исходные данные'!$D$2:$D$953,T$3,'Исходные данные'!$F$2:$F$953,$H13&amp;"")=0,"0+"&amp;SUMIFS('Исходные данные'!$J$2:$J$953,'Исходные данные'!$D$2:$D$953,T$3,'Исходные данные'!$F$2:$F$953,$H13&amp;"")&amp;"="&amp;SUMIFS('Исходные данные'!$J$2:$J$953,'Исходные данные'!$D$2:$D$953,T$3,'Исходные данные'!$F$2:$F$953,$H13&amp;""),SUMIFS('Исходные данные'!$I$2:$I$953,'Исходные данные'!$D$2:$D$953,T$3,'Исходные данные'!$F$2:$F$953,$H13&amp;"")&amp;"+"&amp;SUMIFS('Исходные данные'!$J$2:$J$953,'Исходные данные'!$D$2:$D$953,T$3,'Исходные данные'!$F$2:$F$953,$H13&amp;"")&amp;"="&amp;(SUMIFS('Исходные данные'!$I$2:$I$953,'Исходные данные'!$D$2:$D$953,T$3,'Исходные данные'!$F$2:$F$953,$H13&amp;"")+SUMIFS('Исходные данные'!$J$2:$J$953,'Исходные данные'!$D$2:$D$953,T$3,'Исходные данные'!$F$2:$F$953,$H13&amp;"")))))</f>
        <v/>
      </c>
      <c r="U13" s="37">
        <f>IF(SUMIFS('Исходные данные'!$I$2:$I$953,'Исходные данные'!$D$2:$D$953,U$3,'Исходные данные'!$F$2:$F$953,$H13&amp;"")+SUMIFS('Исходные данные'!$J$2:$J$953,'Исходные данные'!$D$2:$D$953,U$3,'Исходные данные'!$F$2:$F$953,$H13&amp;"")=0,"",IF(SUMIFS('Исходные данные'!$J$2:$J$953,'Исходные данные'!$D$2:$D$953,U$3,'Исходные данные'!$F$2:$F$953,$H13&amp;"")=0,SUMIFS('Исходные данные'!$I$2:$I$953,'Исходные данные'!$D$2:$D$953,U$3,'Исходные данные'!$F$2:$F$953,$H13&amp;""),IF(SUMIFS('Исходные данные'!$I$2:$I$953,'Исходные данные'!$D$2:$D$953,U$3,'Исходные данные'!$F$2:$F$953,$H13&amp;"")=0,"0+"&amp;SUMIFS('Исходные данные'!$J$2:$J$953,'Исходные данные'!$D$2:$D$953,U$3,'Исходные данные'!$F$2:$F$953,$H13&amp;"")&amp;"="&amp;SUMIFS('Исходные данные'!$J$2:$J$953,'Исходные данные'!$D$2:$D$953,U$3,'Исходные данные'!$F$2:$F$953,$H13&amp;""),SUMIFS('Исходные данные'!$I$2:$I$953,'Исходные данные'!$D$2:$D$953,U$3,'Исходные данные'!$F$2:$F$953,$H13&amp;"")&amp;"+"&amp;SUMIFS('Исходные данные'!$J$2:$J$953,'Исходные данные'!$D$2:$D$953,U$3,'Исходные данные'!$F$2:$F$953,$H13&amp;"")&amp;"="&amp;(SUMIFS('Исходные данные'!$I$2:$I$953,'Исходные данные'!$D$2:$D$953,U$3,'Исходные данные'!$F$2:$F$953,$H13&amp;"")+SUMIFS('Исходные данные'!$J$2:$J$953,'Исходные данные'!$D$2:$D$953,U$3,'Исходные данные'!$F$2:$F$953,$H13&amp;"")))))</f>
        <v/>
      </c>
      <c r="V13" s="36">
        <f>IF(SUMIFS('Исходные данные'!$I$2:$I$953,'Исходные данные'!$D$2:$D$953,V$3,'Исходные данные'!$F$2:$F$953,$H13&amp;"")+SUMIFS('Исходные данные'!$J$2:$J$953,'Исходные данные'!$D$2:$D$953,V$3,'Исходные данные'!$F$2:$F$953,$H13&amp;"")=0,"",IF(SUMIFS('Исходные данные'!$J$2:$J$953,'Исходные данные'!$D$2:$D$953,V$3,'Исходные данные'!$F$2:$F$953,$H13&amp;"")=0,SUMIFS('Исходные данные'!$I$2:$I$953,'Исходные данные'!$D$2:$D$953,V$3,'Исходные данные'!$F$2:$F$953,$H13&amp;""),IF(SUMIFS('Исходные данные'!$I$2:$I$953,'Исходные данные'!$D$2:$D$953,V$3,'Исходные данные'!$F$2:$F$953,$H13&amp;"")=0,"0+"&amp;SUMIFS('Исходные данные'!$J$2:$J$953,'Исходные данные'!$D$2:$D$953,V$3,'Исходные данные'!$F$2:$F$953,$H13&amp;"")&amp;"="&amp;SUMIFS('Исходные данные'!$J$2:$J$953,'Исходные данные'!$D$2:$D$953,V$3,'Исходные данные'!$F$2:$F$953,$H13&amp;""),SUMIFS('Исходные данные'!$I$2:$I$953,'Исходные данные'!$D$2:$D$953,V$3,'Исходные данные'!$F$2:$F$953,$H13&amp;"")&amp;"+"&amp;SUMIFS('Исходные данные'!$J$2:$J$953,'Исходные данные'!$D$2:$D$953,V$3,'Исходные данные'!$F$2:$F$953,$H13&amp;"")&amp;"="&amp;(SUMIFS('Исходные данные'!$I$2:$I$953,'Исходные данные'!$D$2:$D$953,V$3,'Исходные данные'!$F$2:$F$953,$H13&amp;"")+SUMIFS('Исходные данные'!$J$2:$J$953,'Исходные данные'!$D$2:$D$953,V$3,'Исходные данные'!$F$2:$F$953,$H13&amp;"")))))</f>
        <v/>
      </c>
      <c r="W13" s="37">
        <f>IF(SUMIFS('Исходные данные'!$I$2:$I$953,'Исходные данные'!$D$2:$D$953,W$3,'Исходные данные'!$F$2:$F$953,$H13&amp;"")+SUMIFS('Исходные данные'!$J$2:$J$953,'Исходные данные'!$D$2:$D$953,W$3,'Исходные данные'!$F$2:$F$953,$H13&amp;"")=0,"",IF(SUMIFS('Исходные данные'!$J$2:$J$953,'Исходные данные'!$D$2:$D$953,W$3,'Исходные данные'!$F$2:$F$953,$H13&amp;"")=0,SUMIFS('Исходные данные'!$I$2:$I$953,'Исходные данные'!$D$2:$D$953,W$3,'Исходные данные'!$F$2:$F$953,$H13&amp;""),IF(SUMIFS('Исходные данные'!$I$2:$I$953,'Исходные данные'!$D$2:$D$953,W$3,'Исходные данные'!$F$2:$F$953,$H13&amp;"")=0,"0+"&amp;SUMIFS('Исходные данные'!$J$2:$J$953,'Исходные данные'!$D$2:$D$953,W$3,'Исходные данные'!$F$2:$F$953,$H13&amp;"")&amp;"="&amp;SUMIFS('Исходные данные'!$J$2:$J$953,'Исходные данные'!$D$2:$D$953,W$3,'Исходные данные'!$F$2:$F$953,$H13&amp;""),SUMIFS('Исходные данные'!$I$2:$I$953,'Исходные данные'!$D$2:$D$953,W$3,'Исходные данные'!$F$2:$F$953,$H13&amp;"")&amp;"+"&amp;SUMIFS('Исходные данные'!$J$2:$J$953,'Исходные данные'!$D$2:$D$953,W$3,'Исходные данные'!$F$2:$F$953,$H13&amp;"")&amp;"="&amp;(SUMIFS('Исходные данные'!$I$2:$I$953,'Исходные данные'!$D$2:$D$953,W$3,'Исходные данные'!$F$2:$F$953,$H13&amp;"")+SUMIFS('Исходные данные'!$J$2:$J$953,'Исходные данные'!$D$2:$D$953,W$3,'Исходные данные'!$F$2:$F$953,$H13&amp;"")))))</f>
        <v/>
      </c>
      <c r="X13" s="37">
        <f>IF(SUMIFS('Исходные данные'!$I$2:$I$953,'Исходные данные'!$D$2:$D$953,X$3,'Исходные данные'!$F$2:$F$953,$H13&amp;"")+SUMIFS('Исходные данные'!$J$2:$J$953,'Исходные данные'!$D$2:$D$953,X$3,'Исходные данные'!$F$2:$F$953,$H13&amp;"")=0,"",IF(SUMIFS('Исходные данные'!$J$2:$J$953,'Исходные данные'!$D$2:$D$953,X$3,'Исходные данные'!$F$2:$F$953,$H13&amp;"")=0,SUMIFS('Исходные данные'!$I$2:$I$953,'Исходные данные'!$D$2:$D$953,X$3,'Исходные данные'!$F$2:$F$953,$H13&amp;""),IF(SUMIFS('Исходные данные'!$I$2:$I$953,'Исходные данные'!$D$2:$D$953,X$3,'Исходные данные'!$F$2:$F$953,$H13&amp;"")=0,"0+"&amp;SUMIFS('Исходные данные'!$J$2:$J$953,'Исходные данные'!$D$2:$D$953,X$3,'Исходные данные'!$F$2:$F$953,$H13&amp;"")&amp;"="&amp;SUMIFS('Исходные данные'!$J$2:$J$953,'Исходные данные'!$D$2:$D$953,X$3,'Исходные данные'!$F$2:$F$953,$H13&amp;""),SUMIFS('Исходные данные'!$I$2:$I$953,'Исходные данные'!$D$2:$D$953,X$3,'Исходные данные'!$F$2:$F$953,$H13&amp;"")&amp;"+"&amp;SUMIFS('Исходные данные'!$J$2:$J$953,'Исходные данные'!$D$2:$D$953,X$3,'Исходные данные'!$F$2:$F$953,$H13&amp;"")&amp;"="&amp;(SUMIFS('Исходные данные'!$I$2:$I$953,'Исходные данные'!$D$2:$D$953,X$3,'Исходные данные'!$F$2:$F$953,$H13&amp;"")+SUMIFS('Исходные данные'!$J$2:$J$953,'Исходные данные'!$D$2:$D$953,X$3,'Исходные данные'!$F$2:$F$953,$H13&amp;"")))))</f>
        <v/>
      </c>
      <c r="Y13" s="39">
        <f>IF(SUMIFS('Исходные данные'!$I$2:$I$953,'Исходные данные'!$D$2:$D$953,Y$3,'Исходные данные'!$F$2:$F$953,$H13&amp;"")+SUMIFS('Исходные данные'!$J$2:$J$953,'Исходные данные'!$D$2:$D$953,Y$3,'Исходные данные'!$F$2:$F$953,$H13&amp;"")=0,"",IF(SUMIFS('Исходные данные'!$J$2:$J$953,'Исходные данные'!$D$2:$D$953,Y$3,'Исходные данные'!$F$2:$F$953,$H13&amp;"")=0,SUMIFS('Исходные данные'!$I$2:$I$953,'Исходные данные'!$D$2:$D$953,Y$3,'Исходные данные'!$F$2:$F$953,$H13&amp;""),IF(SUMIFS('Исходные данные'!$I$2:$I$953,'Исходные данные'!$D$2:$D$953,Y$3,'Исходные данные'!$F$2:$F$953,$H13&amp;"")=0,"0+"&amp;SUMIFS('Исходные данные'!$J$2:$J$953,'Исходные данные'!$D$2:$D$953,Y$3,'Исходные данные'!$F$2:$F$953,$H13&amp;"")&amp;"="&amp;SUMIFS('Исходные данные'!$J$2:$J$953,'Исходные данные'!$D$2:$D$953,Y$3,'Исходные данные'!$F$2:$F$953,$H13&amp;""),SUMIFS('Исходные данные'!$I$2:$I$953,'Исходные данные'!$D$2:$D$953,Y$3,'Исходные данные'!$F$2:$F$953,$H13&amp;"")&amp;"+"&amp;SUMIFS('Исходные данные'!$J$2:$J$953,'Исходные данные'!$D$2:$D$953,Y$3,'Исходные данные'!$F$2:$F$953,$H13&amp;"")&amp;"="&amp;(SUMIFS('Исходные данные'!$I$2:$I$953,'Исходные данные'!$D$2:$D$953,Y$3,'Исходные данные'!$F$2:$F$953,$H13&amp;"")+SUMIFS('Исходные данные'!$J$2:$J$953,'Исходные данные'!$D$2:$D$953,Y$3,'Исходные данные'!$F$2:$F$953,$H13&amp;"")))))</f>
        <v/>
      </c>
      <c r="Z13" s="36">
        <f>IF(SUMIFS('Исходные данные'!$I$2:$I$953,'Исходные данные'!$D$2:$D$953,Z$3,'Исходные данные'!$F$2:$F$953,$H13&amp;"")+SUMIFS('Исходные данные'!$J$2:$J$953,'Исходные данные'!$D$2:$D$953,Z$3,'Исходные данные'!$F$2:$F$953,$H13&amp;"")=0,"",IF(SUMIFS('Исходные данные'!$J$2:$J$953,'Исходные данные'!$D$2:$D$953,Z$3,'Исходные данные'!$F$2:$F$953,$H13&amp;"")=0,SUMIFS('Исходные данные'!$I$2:$I$953,'Исходные данные'!$D$2:$D$953,Z$3,'Исходные данные'!$F$2:$F$953,$H13&amp;""),IF(SUMIFS('Исходные данные'!$I$2:$I$953,'Исходные данные'!$D$2:$D$953,Z$3,'Исходные данные'!$F$2:$F$953,$H13&amp;"")=0,"0+"&amp;SUMIFS('Исходные данные'!$J$2:$J$953,'Исходные данные'!$D$2:$D$953,Z$3,'Исходные данные'!$F$2:$F$953,$H13&amp;"")&amp;"="&amp;SUMIFS('Исходные данные'!$J$2:$J$953,'Исходные данные'!$D$2:$D$953,Z$3,'Исходные данные'!$F$2:$F$953,$H13&amp;""),SUMIFS('Исходные данные'!$I$2:$I$953,'Исходные данные'!$D$2:$D$953,Z$3,'Исходные данные'!$F$2:$F$953,$H13&amp;"")&amp;"+"&amp;SUMIFS('Исходные данные'!$J$2:$J$953,'Исходные данные'!$D$2:$D$953,Z$3,'Исходные данные'!$F$2:$F$953,$H13&amp;"")&amp;"="&amp;(SUMIFS('Исходные данные'!$I$2:$I$953,'Исходные данные'!$D$2:$D$953,Z$3,'Исходные данные'!$F$2:$F$953,$H13&amp;"")+SUMIFS('Исходные данные'!$J$2:$J$953,'Исходные данные'!$D$2:$D$953,Z$3,'Исходные данные'!$F$2:$F$953,$H13&amp;"")))))</f>
        <v/>
      </c>
      <c r="AA13" s="37">
        <f>IF(SUMIFS('Исходные данные'!$I$2:$I$953,'Исходные данные'!$D$2:$D$953,AA$3,'Исходные данные'!$F$2:$F$953,$H13&amp;"")+SUMIFS('Исходные данные'!$J$2:$J$953,'Исходные данные'!$D$2:$D$953,AA$3,'Исходные данные'!$F$2:$F$953,$H13&amp;"")=0,"",IF(SUMIFS('Исходные данные'!$J$2:$J$953,'Исходные данные'!$D$2:$D$953,AA$3,'Исходные данные'!$F$2:$F$953,$H13&amp;"")=0,SUMIFS('Исходные данные'!$I$2:$I$953,'Исходные данные'!$D$2:$D$953,AA$3,'Исходные данные'!$F$2:$F$953,$H13&amp;""),IF(SUMIFS('Исходные данные'!$I$2:$I$953,'Исходные данные'!$D$2:$D$953,AA$3,'Исходные данные'!$F$2:$F$953,$H13&amp;"")=0,"0+"&amp;SUMIFS('Исходные данные'!$J$2:$J$953,'Исходные данные'!$D$2:$D$953,AA$3,'Исходные данные'!$F$2:$F$953,$H13&amp;"")&amp;"="&amp;SUMIFS('Исходные данные'!$J$2:$J$953,'Исходные данные'!$D$2:$D$953,AA$3,'Исходные данные'!$F$2:$F$953,$H13&amp;""),SUMIFS('Исходные данные'!$I$2:$I$953,'Исходные данные'!$D$2:$D$953,AA$3,'Исходные данные'!$F$2:$F$953,$H13&amp;"")&amp;"+"&amp;SUMIFS('Исходные данные'!$J$2:$J$953,'Исходные данные'!$D$2:$D$953,AA$3,'Исходные данные'!$F$2:$F$953,$H13&amp;"")&amp;"="&amp;(SUMIFS('Исходные данные'!$I$2:$I$953,'Исходные данные'!$D$2:$D$953,AA$3,'Исходные данные'!$F$2:$F$953,$H13&amp;"")+SUMIFS('Исходные данные'!$J$2:$J$953,'Исходные данные'!$D$2:$D$953,AA$3,'Исходные данные'!$F$2:$F$953,$H13&amp;"")))))</f>
        <v/>
      </c>
      <c r="AB13" s="37" t="n"/>
      <c r="AC13" s="39">
        <f>IF(SUMIFS('Исходные данные'!$I$2:$I$953,'Исходные данные'!$D$2:$D$953,AC$3,'Исходные данные'!$F$2:$F$953,$H13&amp;"")+SUMIFS('Исходные данные'!$J$2:$J$953,'Исходные данные'!$D$2:$D$953,AC$3,'Исходные данные'!$F$2:$F$953,$H13&amp;"")=0,"",IF(SUMIFS('Исходные данные'!$J$2:$J$953,'Исходные данные'!$D$2:$D$953,AC$3,'Исходные данные'!$F$2:$F$953,$H13&amp;"")=0,SUMIFS('Исходные данные'!$I$2:$I$953,'Исходные данные'!$D$2:$D$953,AC$3,'Исходные данные'!$F$2:$F$953,$H13&amp;""),IF(SUMIFS('Исходные данные'!$I$2:$I$953,'Исходные данные'!$D$2:$D$953,AC$3,'Исходные данные'!$F$2:$F$953,$H13&amp;"")=0,"0+"&amp;SUMIFS('Исходные данные'!$J$2:$J$953,'Исходные данные'!$D$2:$D$953,AC$3,'Исходные данные'!$F$2:$F$953,$H13&amp;"")&amp;"="&amp;SUMIFS('Исходные данные'!$J$2:$J$953,'Исходные данные'!$D$2:$D$953,AC$3,'Исходные данные'!$F$2:$F$953,$H13&amp;""),SUMIFS('Исходные данные'!$I$2:$I$953,'Исходные данные'!$D$2:$D$953,AC$3,'Исходные данные'!$F$2:$F$953,$H13&amp;"")&amp;"+"&amp;SUMIFS('Исходные данные'!$J$2:$J$953,'Исходные данные'!$D$2:$D$953,AC$3,'Исходные данные'!$F$2:$F$953,$H13&amp;"")&amp;"="&amp;(SUMIFS('Исходные данные'!$I$2:$I$953,'Исходные данные'!$D$2:$D$953,AC$3,'Исходные данные'!$F$2:$F$953,$H13&amp;"")+SUMIFS('Исходные данные'!$J$2:$J$953,'Исходные данные'!$D$2:$D$953,AC$3,'Исходные данные'!$F$2:$F$953,$H13&amp;"")))))</f>
        <v/>
      </c>
      <c r="AD13" s="37">
        <f>IF(SUMIFS('Исходные данные'!$I$2:$I$953,'Исходные данные'!$D$2:$D$953,AD$3,'Исходные данные'!$F$2:$F$953,$H13&amp;"")+SUMIFS('Исходные данные'!$J$2:$J$953,'Исходные данные'!$D$2:$D$953,AD$3,'Исходные данные'!$F$2:$F$953,$H13&amp;"")=0,"",IF(SUMIFS('Исходные данные'!$J$2:$J$953,'Исходные данные'!$D$2:$D$953,AD$3,'Исходные данные'!$F$2:$F$953,$H13&amp;"")=0,SUMIFS('Исходные данные'!$I$2:$I$953,'Исходные данные'!$D$2:$D$953,AD$3,'Исходные данные'!$F$2:$F$953,$H13&amp;""),IF(SUMIFS('Исходные данные'!$I$2:$I$953,'Исходные данные'!$D$2:$D$953,AD$3,'Исходные данные'!$F$2:$F$953,$H13&amp;"")=0,"0+"&amp;SUMIFS('Исходные данные'!$J$2:$J$953,'Исходные данные'!$D$2:$D$953,AD$3,'Исходные данные'!$F$2:$F$953,$H13&amp;"")&amp;"="&amp;SUMIFS('Исходные данные'!$J$2:$J$953,'Исходные данные'!$D$2:$D$953,AD$3,'Исходные данные'!$F$2:$F$953,$H13&amp;""),SUMIFS('Исходные данные'!$I$2:$I$953,'Исходные данные'!$D$2:$D$953,AD$3,'Исходные данные'!$F$2:$F$953,$H13&amp;"")&amp;"+"&amp;SUMIFS('Исходные данные'!$J$2:$J$953,'Исходные данные'!$D$2:$D$953,AD$3,'Исходные данные'!$F$2:$F$953,$H13&amp;"")&amp;"="&amp;(SUMIFS('Исходные данные'!$I$2:$I$953,'Исходные данные'!$D$2:$D$953,AD$3,'Исходные данные'!$F$2:$F$953,$H13&amp;"")+SUMIFS('Исходные данные'!$J$2:$J$953,'Исходные данные'!$D$2:$D$953,AD$3,'Исходные данные'!$F$2:$F$953,$H13&amp;"")))))</f>
        <v/>
      </c>
    </row>
    <row r="14" ht="25.5" customHeight="1">
      <c r="A14" s="34" t="n">
        <v>12</v>
      </c>
      <c r="B14" s="95" t="n"/>
      <c r="C14" s="117" t="n"/>
      <c r="D14" s="118" t="n"/>
      <c r="E14" s="117" t="n"/>
      <c r="F14" s="117" t="n"/>
      <c r="G14" s="102" t="n"/>
      <c r="H14" s="56" t="n"/>
      <c r="I14" s="41" t="n"/>
      <c r="J14" s="73" t="n"/>
      <c r="K14" s="67" t="n"/>
      <c r="L14" s="85" t="n"/>
      <c r="M14" s="79" t="n"/>
      <c r="N14" s="79" t="n"/>
      <c r="O14" s="42">
        <f>IF(SUMIFS('Исходные данные'!$I$2:$I$953,'Исходные данные'!$D$2:$D$953,O$3,'Исходные данные'!$F$2:$F$953,$H15&amp;"",'Исходные данные'!$L$2:$L$953,"УТТ")+SUMIFS('Исходные данные'!$J$2:$J$953,'Исходные данные'!$D$2:$D$953,O$3,'Исходные данные'!$F$2:$F$953,$H15&amp;"",'Исходные данные'!$L$2:$L$953,"УТТ")=0,"","утт-"&amp;(SUMIFS('Исходные данные'!$I$2:$I$953,'Исходные данные'!$D$2:$D$953,O$3,'Исходные данные'!$F$2:$F$953,$H15&amp;"",'Исходные данные'!$L$2:$L$953,"УТТ")+SUMIFS('Исходные данные'!$J$2:$J$953,'Исходные данные'!$D$2:$D$953,O$3,'Исходные данные'!$F$2:$F$953,$H15&amp;"",'Исходные данные'!$L$2:$L$953,"УТТ")))</f>
        <v/>
      </c>
      <c r="P14" s="43">
        <f>IF(SUMIFS('Исходные данные'!$I$2:$I$953,'Исходные данные'!$D$2:$D$953,P$3,'Исходные данные'!$F$2:$F$953,$H15&amp;"",'Исходные данные'!$L$2:$L$953,"УТТ")+SUMIFS('Исходные данные'!$J$2:$J$953,'Исходные данные'!$D$2:$D$953,P$3,'Исходные данные'!$F$2:$F$953,$H15&amp;"",'Исходные данные'!$L$2:$L$953,"УТТ")=0,"","утт-"&amp;(SUMIFS('Исходные данные'!$I$2:$I$953,'Исходные данные'!$D$2:$D$953,P$3,'Исходные данные'!$F$2:$F$953,$H15&amp;"",'Исходные данные'!$L$2:$L$953,"УТТ")+SUMIFS('Исходные данные'!$J$2:$J$953,'Исходные данные'!$D$2:$D$953,P$3,'Исходные данные'!$F$2:$F$953,$H15&amp;"",'Исходные данные'!$L$2:$L$953,"УТТ")))</f>
        <v/>
      </c>
      <c r="Q14" s="42">
        <f>IF(SUMIFS('Исходные данные'!$I$2:$I$953,'Исходные данные'!$D$2:$D$953,Q$3,'Исходные данные'!$F$2:$F$953,$H15&amp;"",'Исходные данные'!$L$2:$L$953,"УТТ")+SUMIFS('Исходные данные'!$J$2:$J$953,'Исходные данные'!$D$2:$D$953,Q$3,'Исходные данные'!$F$2:$F$953,$H15&amp;"",'Исходные данные'!$L$2:$L$953,"УТТ")=0,"","утт-"&amp;(SUMIFS('Исходные данные'!$I$2:$I$953,'Исходные данные'!$D$2:$D$953,Q$3,'Исходные данные'!$F$2:$F$953,$H15&amp;"",'Исходные данные'!$L$2:$L$953,"УТТ")+SUMIFS('Исходные данные'!$J$2:$J$953,'Исходные данные'!$D$2:$D$953,Q$3,'Исходные данные'!$F$2:$F$953,$H15&amp;"",'Исходные данные'!$L$2:$L$953,"УТТ")))</f>
        <v/>
      </c>
      <c r="R14" s="44">
        <f>IF(SUMIFS('Исходные данные'!$I$2:$I$953,'Исходные данные'!$D$2:$D$953,R$3,'Исходные данные'!$F$2:$F$953,$H15&amp;"",'Исходные данные'!$L$2:$L$953,"УТТ")+SUMIFS('Исходные данные'!$J$2:$J$953,'Исходные данные'!$D$2:$D$953,R$3,'Исходные данные'!$F$2:$F$953,$H15&amp;"",'Исходные данные'!$L$2:$L$953,"УТТ")=0,"","утт-"&amp;(SUMIFS('Исходные данные'!$I$2:$I$953,'Исходные данные'!$D$2:$D$953,R$3,'Исходные данные'!$F$2:$F$953,$H15&amp;"",'Исходные данные'!$L$2:$L$953,"УТТ")+SUMIFS('Исходные данные'!$J$2:$J$953,'Исходные данные'!$D$2:$D$953,R$3,'Исходные данные'!$F$2:$F$953,$H15&amp;"",'Исходные данные'!$L$2:$L$953,"УТТ")))</f>
        <v/>
      </c>
      <c r="S14" s="43">
        <f>IF(SUMIFS('Исходные данные'!$I$2:$I$953,'Исходные данные'!$D$2:$D$953,S$3,'Исходные данные'!$F$2:$F$953,$H15&amp;"",'Исходные данные'!$L$2:$L$953,"УТТ")+SUMIFS('Исходные данные'!$J$2:$J$953,'Исходные данные'!$D$2:$D$953,S$3,'Исходные данные'!$F$2:$F$953,$H15&amp;"",'Исходные данные'!$L$2:$L$953,"УТТ")=0,"","утт-"&amp;(SUMIFS('Исходные данные'!$I$2:$I$953,'Исходные данные'!$D$2:$D$953,S$3,'Исходные данные'!$F$2:$F$953,$H15&amp;"",'Исходные данные'!$L$2:$L$953,"УТТ")+SUMIFS('Исходные данные'!$J$2:$J$953,'Исходные данные'!$D$2:$D$953,S$3,'Исходные данные'!$F$2:$F$953,$H15&amp;"",'Исходные данные'!$L$2:$L$953,"УТТ")))</f>
        <v/>
      </c>
      <c r="T14" s="42">
        <f>IF(SUMIFS('Исходные данные'!$I$2:$I$953,'Исходные данные'!$D$2:$D$953,T$3,'Исходные данные'!$F$2:$F$953,$H15&amp;"",'Исходные данные'!$L$2:$L$953,"УТТ")+SUMIFS('Исходные данные'!$J$2:$J$953,'Исходные данные'!$D$2:$D$953,T$3,'Исходные данные'!$F$2:$F$953,$H15&amp;"",'Исходные данные'!$L$2:$L$953,"УТТ")=0,"","утт-"&amp;(SUMIFS('Исходные данные'!$I$2:$I$953,'Исходные данные'!$D$2:$D$953,T$3,'Исходные данные'!$F$2:$F$953,$H15&amp;"",'Исходные данные'!$L$2:$L$953,"УТТ")+SUMIFS('Исходные данные'!$J$2:$J$953,'Исходные данные'!$D$2:$D$953,T$3,'Исходные данные'!$F$2:$F$953,$H15&amp;"",'Исходные данные'!$L$2:$L$953,"УТТ")))</f>
        <v/>
      </c>
      <c r="U14" s="43">
        <f>IF(SUMIFS('Исходные данные'!$I$2:$I$953,'Исходные данные'!$D$2:$D$953,U$3,'Исходные данные'!$F$2:$F$953,$H15&amp;"",'Исходные данные'!$L$2:$L$953,"УТТ")+SUMIFS('Исходные данные'!$J$2:$J$953,'Исходные данные'!$D$2:$D$953,U$3,'Исходные данные'!$F$2:$F$953,$H15&amp;"",'Исходные данные'!$L$2:$L$953,"УТТ")=0,"","утт-"&amp;(SUMIFS('Исходные данные'!$I$2:$I$953,'Исходные данные'!$D$2:$D$953,U$3,'Исходные данные'!$F$2:$F$953,$H15&amp;"",'Исходные данные'!$L$2:$L$953,"УТТ")+SUMIFS('Исходные данные'!$J$2:$J$953,'Исходные данные'!$D$2:$D$953,U$3,'Исходные данные'!$F$2:$F$953,$H15&amp;"",'Исходные данные'!$L$2:$L$953,"УТТ")))</f>
        <v/>
      </c>
      <c r="V14" s="42">
        <f>IF(SUMIFS('Исходные данные'!$I$2:$I$953,'Исходные данные'!$D$2:$D$953,V$3,'Исходные данные'!$F$2:$F$953,$H15&amp;"",'Исходные данные'!$L$2:$L$953,"УТТ")+SUMIFS('Исходные данные'!$J$2:$J$953,'Исходные данные'!$D$2:$D$953,V$3,'Исходные данные'!$F$2:$F$953,$H15&amp;"",'Исходные данные'!$L$2:$L$953,"УТТ")=0,"","утт-"&amp;(SUMIFS('Исходные данные'!$I$2:$I$953,'Исходные данные'!$D$2:$D$953,V$3,'Исходные данные'!$F$2:$F$953,$H15&amp;"",'Исходные данные'!$L$2:$L$953,"УТТ")+SUMIFS('Исходные данные'!$J$2:$J$953,'Исходные данные'!$D$2:$D$953,V$3,'Исходные данные'!$F$2:$F$953,$H15&amp;"",'Исходные данные'!$L$2:$L$953,"УТТ")))</f>
        <v/>
      </c>
      <c r="W14" s="43">
        <f>IF(SUMIFS('Исходные данные'!$I$2:$I$953,'Исходные данные'!$D$2:$D$953,W$3,'Исходные данные'!$F$2:$F$953,$H15&amp;"",'Исходные данные'!$L$2:$L$953,"УТТ")+SUMIFS('Исходные данные'!$J$2:$J$953,'Исходные данные'!$D$2:$D$953,W$3,'Исходные данные'!$F$2:$F$953,$H15&amp;"",'Исходные данные'!$L$2:$L$953,"УТТ")=0,"","утт-"&amp;(SUMIFS('Исходные данные'!$I$2:$I$953,'Исходные данные'!$D$2:$D$953,W$3,'Исходные данные'!$F$2:$F$953,$H15&amp;"",'Исходные данные'!$L$2:$L$953,"УТТ")+SUMIFS('Исходные данные'!$J$2:$J$953,'Исходные данные'!$D$2:$D$953,W$3,'Исходные данные'!$F$2:$F$953,$H15&amp;"",'Исходные данные'!$L$2:$L$953,"УТТ")))</f>
        <v/>
      </c>
      <c r="X14" s="43">
        <f>IF(SUMIFS('Исходные данные'!$I$2:$I$953,'Исходные данные'!$D$2:$D$953,X$3,'Исходные данные'!$F$2:$F$953,$H15&amp;"",'Исходные данные'!$L$2:$L$953,"УТТ")+SUMIFS('Исходные данные'!$J$2:$J$953,'Исходные данные'!$D$2:$D$953,X$3,'Исходные данные'!$F$2:$F$953,$H15&amp;"",'Исходные данные'!$L$2:$L$953,"УТТ")=0,"","утт-"&amp;(SUMIFS('Исходные данные'!$I$2:$I$953,'Исходные данные'!$D$2:$D$953,X$3,'Исходные данные'!$F$2:$F$953,$H15&amp;"",'Исходные данные'!$L$2:$L$953,"УТТ")+SUMIFS('Исходные данные'!$J$2:$J$953,'Исходные данные'!$D$2:$D$953,X$3,'Исходные данные'!$F$2:$F$953,$H15&amp;"",'Исходные данные'!$L$2:$L$953,"УТТ")))</f>
        <v/>
      </c>
      <c r="Y14" s="45">
        <f>IF(SUMIFS('Исходные данные'!$I$2:$I$953,'Исходные данные'!$D$2:$D$953,Y$3,'Исходные данные'!$F$2:$F$953,$H15&amp;"",'Исходные данные'!$L$2:$L$953,"УТТ")+SUMIFS('Исходные данные'!$J$2:$J$953,'Исходные данные'!$D$2:$D$953,Y$3,'Исходные данные'!$F$2:$F$953,$H15&amp;"",'Исходные данные'!$L$2:$L$953,"УТТ")=0,"","утт-"&amp;(SUMIFS('Исходные данные'!$I$2:$I$953,'Исходные данные'!$D$2:$D$953,Y$3,'Исходные данные'!$F$2:$F$953,$H15&amp;"",'Исходные данные'!$L$2:$L$953,"УТТ")+SUMIFS('Исходные данные'!$J$2:$J$953,'Исходные данные'!$D$2:$D$953,Y$3,'Исходные данные'!$F$2:$F$953,$H15&amp;"",'Исходные данные'!$L$2:$L$953,"УТТ")))</f>
        <v/>
      </c>
      <c r="Z14" s="42">
        <f>IF(SUMIFS('Исходные данные'!$I$2:$I$953,'Исходные данные'!$D$2:$D$953,Z$3,'Исходные данные'!$F$2:$F$953,$H15&amp;"",'Исходные данные'!$L$2:$L$953,"УТТ")+SUMIFS('Исходные данные'!$J$2:$J$953,'Исходные данные'!$D$2:$D$953,Z$3,'Исходные данные'!$F$2:$F$953,$H15&amp;"",'Исходные данные'!$L$2:$L$953,"УТТ")=0,"","утт-"&amp;(SUMIFS('Исходные данные'!$I$2:$I$953,'Исходные данные'!$D$2:$D$953,Z$3,'Исходные данные'!$F$2:$F$953,$H15&amp;"",'Исходные данные'!$L$2:$L$953,"УТТ")+SUMIFS('Исходные данные'!$J$2:$J$953,'Исходные данные'!$D$2:$D$953,Z$3,'Исходные данные'!$F$2:$F$953,$H15&amp;"",'Исходные данные'!$L$2:$L$953,"УТТ")))</f>
        <v/>
      </c>
      <c r="AA14" s="43">
        <f>IF(SUMIFS('Исходные данные'!$I$2:$I$953,'Исходные данные'!$D$2:$D$953,AA$3,'Исходные данные'!$F$2:$F$953,$H15&amp;"",'Исходные данные'!$L$2:$L$953,"УТТ")+SUMIFS('Исходные данные'!$J$2:$J$953,'Исходные данные'!$D$2:$D$953,AA$3,'Исходные данные'!$F$2:$F$953,$H15&amp;"",'Исходные данные'!$L$2:$L$953,"УТТ")=0,"","утт-"&amp;(SUMIFS('Исходные данные'!$I$2:$I$953,'Исходные данные'!$D$2:$D$953,AA$3,'Исходные данные'!$F$2:$F$953,$H15&amp;"",'Исходные данные'!$L$2:$L$953,"УТТ")+SUMIFS('Исходные данные'!$J$2:$J$953,'Исходные данные'!$D$2:$D$953,AA$3,'Исходные данные'!$F$2:$F$953,$H15&amp;"",'Исходные данные'!$L$2:$L$953,"УТТ")))</f>
        <v/>
      </c>
      <c r="AB14" s="43" t="n"/>
      <c r="AC14" s="42">
        <f>IF(SUMIFS('Исходные данные'!$I$2:$I$953,'Исходные данные'!$D$2:$D$953,AC$3,'Исходные данные'!$F$2:$F$953,$H15&amp;"",'Исходные данные'!$L$2:$L$953,"УТТ")+SUMIFS('Исходные данные'!$J$2:$J$953,'Исходные данные'!$D$2:$D$953,AC$3,'Исходные данные'!$F$2:$F$953,$H15&amp;"",'Исходные данные'!$L$2:$L$953,"УТТ")=0,"","утт-"&amp;(SUMIFS('Исходные данные'!$I$2:$I$953,'Исходные данные'!$D$2:$D$953,AC$3,'Исходные данные'!$F$2:$F$953,$H15&amp;"",'Исходные данные'!$L$2:$L$953,"УТТ")+SUMIFS('Исходные данные'!$J$2:$J$953,'Исходные данные'!$D$2:$D$953,AC$3,'Исходные данные'!$F$2:$F$953,$H15&amp;"",'Исходные данные'!$L$2:$L$953,"УТТ")))</f>
        <v/>
      </c>
      <c r="AD14" s="43">
        <f>IF(SUMIFS('Исходные данные'!$I$2:$I$953,'Исходные данные'!$D$2:$D$953,AD$3,'Исходные данные'!$F$2:$F$953,$H15&amp;"",'Исходные данные'!$L$2:$L$953,"УТТ")+SUMIFS('Исходные данные'!$J$2:$J$953,'Исходные данные'!$D$2:$D$953,AD$3,'Исходные данные'!$F$2:$F$953,$H15&amp;"",'Исходные данные'!$L$2:$L$953,"УТТ")=0,"","утт-"&amp;(SUMIFS('Исходные данные'!$I$2:$I$953,'Исходные данные'!$D$2:$D$953,AD$3,'Исходные данные'!$F$2:$F$953,$H15&amp;"",'Исходные данные'!$L$2:$L$953,"УТТ")+SUMIFS('Исходные данные'!$J$2:$J$953,'Исходные данные'!$D$2:$D$953,AD$3,'Исходные данные'!$F$2:$F$953,$H15&amp;"",'Исходные данные'!$L$2:$L$953,"УТТ")))</f>
        <v/>
      </c>
    </row>
    <row r="15" ht="25.5" customHeight="1">
      <c r="A15" s="26" t="n">
        <v>13</v>
      </c>
      <c r="B15" s="95" t="n"/>
      <c r="C15" s="117" t="n"/>
      <c r="D15" s="118" t="n"/>
      <c r="E15" s="117" t="n"/>
      <c r="F15" s="117" t="n"/>
      <c r="G15" s="102" t="n"/>
      <c r="H15" s="56" t="n">
        <v>27</v>
      </c>
      <c r="I15" s="35" t="inlineStr">
        <is>
          <t>АРОК (КМУ)</t>
        </is>
      </c>
      <c r="J15" s="72">
        <f>IFERROR(INDEX('Выход ТС'!$C:$C,MATCH($H15&amp;"",'Выход ТС'!$A:$A,0)),"")</f>
        <v/>
      </c>
      <c r="K15" s="66">
        <f>IFERROR(INDEX('Выход ТС'!$D:$D,MATCH($H15&amp;"",'Выход ТС'!$A:$A,0)),"")</f>
        <v/>
      </c>
      <c r="L15" s="84">
        <f>IFERROR(INDEX('Выход ТС'!$E:$E,MATCH($H15&amp;"",'Выход ТС'!$A:$A,0)),"")</f>
        <v/>
      </c>
      <c r="M15" s="78">
        <f>IFERROR(IF(INDEX('Выход ТС'!$F:$F,MATCH($H15&amp;"",'Выход ТС'!$A:$A,0))=0,"",INDEX('Выход ТС'!$F:$F,MATCH($H15&amp;"",'Выход ТС'!$A:$A,0))),"")</f>
        <v/>
      </c>
      <c r="N15" s="78">
        <f>IFERROR(IF(INDEX('Выход ТС'!$G:$G,MATCH($H15&amp;"",'Выход ТС'!$A:$A,0))=0,"",INDEX('Выход ТС'!$G:$G,MATCH($H15&amp;"",'Выход ТС'!$A:$A,0))),"")</f>
        <v/>
      </c>
      <c r="O15" s="39">
        <f>IF(SUMIFS('Исходные данные'!$I$2:$I$953,'Исходные данные'!$D$2:$D$953,O$3,'Исходные данные'!$F$2:$F$953,$H15&amp;"")+SUMIFS('Исходные данные'!$J$2:$J$953,'Исходные данные'!$D$2:$D$953,O$3,'Исходные данные'!$F$2:$F$953,$H15&amp;"")=0,"",IF(SUMIFS('Исходные данные'!$J$2:$J$953,'Исходные данные'!$D$2:$D$953,O$3,'Исходные данные'!$F$2:$F$953,$H15&amp;"")=0,SUMIFS('Исходные данные'!$I$2:$I$953,'Исходные данные'!$D$2:$D$953,O$3,'Исходные данные'!$F$2:$F$953,$H15&amp;""),IF(SUMIFS('Исходные данные'!$I$2:$I$953,'Исходные данные'!$D$2:$D$953,O$3,'Исходные данные'!$F$2:$F$953,$H15&amp;"")=0,"0+"&amp;SUMIFS('Исходные данные'!$J$2:$J$953,'Исходные данные'!$D$2:$D$953,O$3,'Исходные данные'!$F$2:$F$953,$H15&amp;"")&amp;"="&amp;SUMIFS('Исходные данные'!$J$2:$J$953,'Исходные данные'!$D$2:$D$953,O$3,'Исходные данные'!$F$2:$F$953,$H15&amp;""),SUMIFS('Исходные данные'!$I$2:$I$953,'Исходные данные'!$D$2:$D$953,O$3,'Исходные данные'!$F$2:$F$953,$H15&amp;"")&amp;"+"&amp;SUMIFS('Исходные данные'!$J$2:$J$953,'Исходные данные'!$D$2:$D$953,O$3,'Исходные данные'!$F$2:$F$953,$H15&amp;"")&amp;"="&amp;(SUMIFS('Исходные данные'!$I$2:$I$953,'Исходные данные'!$D$2:$D$953,O$3,'Исходные данные'!$F$2:$F$953,$H15&amp;"")+SUMIFS('Исходные данные'!$J$2:$J$953,'Исходные данные'!$D$2:$D$953,O$3,'Исходные данные'!$F$2:$F$953,$H15&amp;"")))))</f>
        <v/>
      </c>
      <c r="P15" s="37">
        <f>IF(SUMIFS('Исходные данные'!$I$2:$I$953,'Исходные данные'!$D$2:$D$953,P$3,'Исходные данные'!$F$2:$F$953,$H15&amp;"")+SUMIFS('Исходные данные'!$J$2:$J$953,'Исходные данные'!$D$2:$D$953,P$3,'Исходные данные'!$F$2:$F$953,$H15&amp;"")=0,"",IF(SUMIFS('Исходные данные'!$J$2:$J$953,'Исходные данные'!$D$2:$D$953,P$3,'Исходные данные'!$F$2:$F$953,$H15&amp;"")=0,SUMIFS('Исходные данные'!$I$2:$I$953,'Исходные данные'!$D$2:$D$953,P$3,'Исходные данные'!$F$2:$F$953,$H15&amp;""),IF(SUMIFS('Исходные данные'!$I$2:$I$953,'Исходные данные'!$D$2:$D$953,P$3,'Исходные данные'!$F$2:$F$953,$H15&amp;"")=0,"0+"&amp;SUMIFS('Исходные данные'!$J$2:$J$953,'Исходные данные'!$D$2:$D$953,P$3,'Исходные данные'!$F$2:$F$953,$H15&amp;"")&amp;"="&amp;SUMIFS('Исходные данные'!$J$2:$J$953,'Исходные данные'!$D$2:$D$953,P$3,'Исходные данные'!$F$2:$F$953,$H15&amp;""),SUMIFS('Исходные данные'!$I$2:$I$953,'Исходные данные'!$D$2:$D$953,P$3,'Исходные данные'!$F$2:$F$953,$H15&amp;"")&amp;"+"&amp;SUMIFS('Исходные данные'!$J$2:$J$953,'Исходные данные'!$D$2:$D$953,P$3,'Исходные данные'!$F$2:$F$953,$H15&amp;"")&amp;"="&amp;(SUMIFS('Исходные данные'!$I$2:$I$953,'Исходные данные'!$D$2:$D$953,P$3,'Исходные данные'!$F$2:$F$953,$H15&amp;"")+SUMIFS('Исходные данные'!$J$2:$J$953,'Исходные данные'!$D$2:$D$953,P$3,'Исходные данные'!$F$2:$F$953,$H15&amp;"")))))</f>
        <v/>
      </c>
      <c r="Q15" s="36">
        <f>IF(SUMIFS('Исходные данные'!$I$2:$I$953,'Исходные данные'!$D$2:$D$953,Q$3,'Исходные данные'!$F$2:$F$953,$H15&amp;"")+SUMIFS('Исходные данные'!$J$2:$J$953,'Исходные данные'!$D$2:$D$953,Q$3,'Исходные данные'!$F$2:$F$953,$H15&amp;"")=0,"",IF(SUMIFS('Исходные данные'!$J$2:$J$953,'Исходные данные'!$D$2:$D$953,Q$3,'Исходные данные'!$F$2:$F$953,$H15&amp;"")=0,SUMIFS('Исходные данные'!$I$2:$I$953,'Исходные данные'!$D$2:$D$953,Q$3,'Исходные данные'!$F$2:$F$953,$H15&amp;""),IF(SUMIFS('Исходные данные'!$I$2:$I$953,'Исходные данные'!$D$2:$D$953,Q$3,'Исходные данные'!$F$2:$F$953,$H15&amp;"")=0,"0+"&amp;SUMIFS('Исходные данные'!$J$2:$J$953,'Исходные данные'!$D$2:$D$953,Q$3,'Исходные данные'!$F$2:$F$953,$H15&amp;"")&amp;"="&amp;SUMIFS('Исходные данные'!$J$2:$J$953,'Исходные данные'!$D$2:$D$953,Q$3,'Исходные данные'!$F$2:$F$953,$H15&amp;""),SUMIFS('Исходные данные'!$I$2:$I$953,'Исходные данные'!$D$2:$D$953,Q$3,'Исходные данные'!$F$2:$F$953,$H15&amp;"")&amp;"+"&amp;SUMIFS('Исходные данные'!$J$2:$J$953,'Исходные данные'!$D$2:$D$953,Q$3,'Исходные данные'!$F$2:$F$953,$H15&amp;"")&amp;"="&amp;(SUMIFS('Исходные данные'!$I$2:$I$953,'Исходные данные'!$D$2:$D$953,Q$3,'Исходные данные'!$F$2:$F$953,$H15&amp;"")+SUMIFS('Исходные данные'!$J$2:$J$953,'Исходные данные'!$D$2:$D$953,Q$3,'Исходные данные'!$F$2:$F$953,$H15&amp;"")))))</f>
        <v/>
      </c>
      <c r="R15" s="38">
        <f>IF(SUMIFS('Исходные данные'!$I$2:$I$953,'Исходные данные'!$D$2:$D$953,R$3,'Исходные данные'!$F$2:$F$953,$H15&amp;"")+SUMIFS('Исходные данные'!$J$2:$J$953,'Исходные данные'!$D$2:$D$953,R$3,'Исходные данные'!$F$2:$F$953,$H15&amp;"")=0,"",IF(SUMIFS('Исходные данные'!$J$2:$J$953,'Исходные данные'!$D$2:$D$953,R$3,'Исходные данные'!$F$2:$F$953,$H15&amp;"")=0,SUMIFS('Исходные данные'!$I$2:$I$953,'Исходные данные'!$D$2:$D$953,R$3,'Исходные данные'!$F$2:$F$953,$H15&amp;""),IF(SUMIFS('Исходные данные'!$I$2:$I$953,'Исходные данные'!$D$2:$D$953,R$3,'Исходные данные'!$F$2:$F$953,$H15&amp;"")=0,"0+"&amp;SUMIFS('Исходные данные'!$J$2:$J$953,'Исходные данные'!$D$2:$D$953,R$3,'Исходные данные'!$F$2:$F$953,$H15&amp;"")&amp;"="&amp;SUMIFS('Исходные данные'!$J$2:$J$953,'Исходные данные'!$D$2:$D$953,R$3,'Исходные данные'!$F$2:$F$953,$H15&amp;""),SUMIFS('Исходные данные'!$I$2:$I$953,'Исходные данные'!$D$2:$D$953,R$3,'Исходные данные'!$F$2:$F$953,$H15&amp;"")&amp;"+"&amp;SUMIFS('Исходные данные'!$J$2:$J$953,'Исходные данные'!$D$2:$D$953,R$3,'Исходные данные'!$F$2:$F$953,$H15&amp;"")&amp;"="&amp;(SUMIFS('Исходные данные'!$I$2:$I$953,'Исходные данные'!$D$2:$D$953,R$3,'Исходные данные'!$F$2:$F$953,$H15&amp;"")+SUMIFS('Исходные данные'!$J$2:$J$953,'Исходные данные'!$D$2:$D$953,R$3,'Исходные данные'!$F$2:$F$953,$H15&amp;"")))))</f>
        <v/>
      </c>
      <c r="S15" s="37">
        <f>IF(SUMIFS('Исходные данные'!$I$2:$I$953,'Исходные данные'!$D$2:$D$953,S$3,'Исходные данные'!$F$2:$F$953,$H15&amp;"")+SUMIFS('Исходные данные'!$J$2:$J$953,'Исходные данные'!$D$2:$D$953,S$3,'Исходные данные'!$F$2:$F$953,$H15&amp;"")=0,"",IF(SUMIFS('Исходные данные'!$J$2:$J$953,'Исходные данные'!$D$2:$D$953,S$3,'Исходные данные'!$F$2:$F$953,$H15&amp;"")=0,SUMIFS('Исходные данные'!$I$2:$I$953,'Исходные данные'!$D$2:$D$953,S$3,'Исходные данные'!$F$2:$F$953,$H15&amp;""),IF(SUMIFS('Исходные данные'!$I$2:$I$953,'Исходные данные'!$D$2:$D$953,S$3,'Исходные данные'!$F$2:$F$953,$H15&amp;"")=0,"0+"&amp;SUMIFS('Исходные данные'!$J$2:$J$953,'Исходные данные'!$D$2:$D$953,S$3,'Исходные данные'!$F$2:$F$953,$H15&amp;"")&amp;"="&amp;SUMIFS('Исходные данные'!$J$2:$J$953,'Исходные данные'!$D$2:$D$953,S$3,'Исходные данные'!$F$2:$F$953,$H15&amp;""),SUMIFS('Исходные данные'!$I$2:$I$953,'Исходные данные'!$D$2:$D$953,S$3,'Исходные данные'!$F$2:$F$953,$H15&amp;"")&amp;"+"&amp;SUMIFS('Исходные данные'!$J$2:$J$953,'Исходные данные'!$D$2:$D$953,S$3,'Исходные данные'!$F$2:$F$953,$H15&amp;"")&amp;"="&amp;(SUMIFS('Исходные данные'!$I$2:$I$953,'Исходные данные'!$D$2:$D$953,S$3,'Исходные данные'!$F$2:$F$953,$H15&amp;"")+SUMIFS('Исходные данные'!$J$2:$J$953,'Исходные данные'!$D$2:$D$953,S$3,'Исходные данные'!$F$2:$F$953,$H15&amp;"")))))</f>
        <v/>
      </c>
      <c r="T15" s="36">
        <f>IF(SUMIFS('Исходные данные'!$I$2:$I$953,'Исходные данные'!$D$2:$D$953,T$3,'Исходные данные'!$F$2:$F$953,$H15&amp;"")+SUMIFS('Исходные данные'!$J$2:$J$953,'Исходные данные'!$D$2:$D$953,T$3,'Исходные данные'!$F$2:$F$953,$H15&amp;"")=0,"",IF(SUMIFS('Исходные данные'!$J$2:$J$953,'Исходные данные'!$D$2:$D$953,T$3,'Исходные данные'!$F$2:$F$953,$H15&amp;"")=0,SUMIFS('Исходные данные'!$I$2:$I$953,'Исходные данные'!$D$2:$D$953,T$3,'Исходные данные'!$F$2:$F$953,$H15&amp;""),IF(SUMIFS('Исходные данные'!$I$2:$I$953,'Исходные данные'!$D$2:$D$953,T$3,'Исходные данные'!$F$2:$F$953,$H15&amp;"")=0,"0+"&amp;SUMIFS('Исходные данные'!$J$2:$J$953,'Исходные данные'!$D$2:$D$953,T$3,'Исходные данные'!$F$2:$F$953,$H15&amp;"")&amp;"="&amp;SUMIFS('Исходные данные'!$J$2:$J$953,'Исходные данные'!$D$2:$D$953,T$3,'Исходные данные'!$F$2:$F$953,$H15&amp;""),SUMIFS('Исходные данные'!$I$2:$I$953,'Исходные данные'!$D$2:$D$953,T$3,'Исходные данные'!$F$2:$F$953,$H15&amp;"")&amp;"+"&amp;SUMIFS('Исходные данные'!$J$2:$J$953,'Исходные данные'!$D$2:$D$953,T$3,'Исходные данные'!$F$2:$F$953,$H15&amp;"")&amp;"="&amp;(SUMIFS('Исходные данные'!$I$2:$I$953,'Исходные данные'!$D$2:$D$953,T$3,'Исходные данные'!$F$2:$F$953,$H15&amp;"")+SUMIFS('Исходные данные'!$J$2:$J$953,'Исходные данные'!$D$2:$D$953,T$3,'Исходные данные'!$F$2:$F$953,$H15&amp;"")))))</f>
        <v/>
      </c>
      <c r="U15" s="37">
        <f>IF(SUMIFS('Исходные данные'!$I$2:$I$953,'Исходные данные'!$D$2:$D$953,U$3,'Исходные данные'!$F$2:$F$953,$H15&amp;"")+SUMIFS('Исходные данные'!$J$2:$J$953,'Исходные данные'!$D$2:$D$953,U$3,'Исходные данные'!$F$2:$F$953,$H15&amp;"")=0,"",IF(SUMIFS('Исходные данные'!$J$2:$J$953,'Исходные данные'!$D$2:$D$953,U$3,'Исходные данные'!$F$2:$F$953,$H15&amp;"")=0,SUMIFS('Исходные данные'!$I$2:$I$953,'Исходные данные'!$D$2:$D$953,U$3,'Исходные данные'!$F$2:$F$953,$H15&amp;""),IF(SUMIFS('Исходные данные'!$I$2:$I$953,'Исходные данные'!$D$2:$D$953,U$3,'Исходные данные'!$F$2:$F$953,$H15&amp;"")=0,"0+"&amp;SUMIFS('Исходные данные'!$J$2:$J$953,'Исходные данные'!$D$2:$D$953,U$3,'Исходные данные'!$F$2:$F$953,$H15&amp;"")&amp;"="&amp;SUMIFS('Исходные данные'!$J$2:$J$953,'Исходные данные'!$D$2:$D$953,U$3,'Исходные данные'!$F$2:$F$953,$H15&amp;""),SUMIFS('Исходные данные'!$I$2:$I$953,'Исходные данные'!$D$2:$D$953,U$3,'Исходные данные'!$F$2:$F$953,$H15&amp;"")&amp;"+"&amp;SUMIFS('Исходные данные'!$J$2:$J$953,'Исходные данные'!$D$2:$D$953,U$3,'Исходные данные'!$F$2:$F$953,$H15&amp;"")&amp;"="&amp;(SUMIFS('Исходные данные'!$I$2:$I$953,'Исходные данные'!$D$2:$D$953,U$3,'Исходные данные'!$F$2:$F$953,$H15&amp;"")+SUMIFS('Исходные данные'!$J$2:$J$953,'Исходные данные'!$D$2:$D$953,U$3,'Исходные данные'!$F$2:$F$953,$H15&amp;"")))))</f>
        <v/>
      </c>
      <c r="V15" s="36">
        <f>IF(SUMIFS('Исходные данные'!$I$2:$I$953,'Исходные данные'!$D$2:$D$953,V$3,'Исходные данные'!$F$2:$F$953,$H15&amp;"")+SUMIFS('Исходные данные'!$J$2:$J$953,'Исходные данные'!$D$2:$D$953,V$3,'Исходные данные'!$F$2:$F$953,$H15&amp;"")=0,"",IF(SUMIFS('Исходные данные'!$J$2:$J$953,'Исходные данные'!$D$2:$D$953,V$3,'Исходные данные'!$F$2:$F$953,$H15&amp;"")=0,SUMIFS('Исходные данные'!$I$2:$I$953,'Исходные данные'!$D$2:$D$953,V$3,'Исходные данные'!$F$2:$F$953,$H15&amp;""),IF(SUMIFS('Исходные данные'!$I$2:$I$953,'Исходные данные'!$D$2:$D$953,V$3,'Исходные данные'!$F$2:$F$953,$H15&amp;"")=0,"0+"&amp;SUMIFS('Исходные данные'!$J$2:$J$953,'Исходные данные'!$D$2:$D$953,V$3,'Исходные данные'!$F$2:$F$953,$H15&amp;"")&amp;"="&amp;SUMIFS('Исходные данные'!$J$2:$J$953,'Исходные данные'!$D$2:$D$953,V$3,'Исходные данные'!$F$2:$F$953,$H15&amp;""),SUMIFS('Исходные данные'!$I$2:$I$953,'Исходные данные'!$D$2:$D$953,V$3,'Исходные данные'!$F$2:$F$953,$H15&amp;"")&amp;"+"&amp;SUMIFS('Исходные данные'!$J$2:$J$953,'Исходные данные'!$D$2:$D$953,V$3,'Исходные данные'!$F$2:$F$953,$H15&amp;"")&amp;"="&amp;(SUMIFS('Исходные данные'!$I$2:$I$953,'Исходные данные'!$D$2:$D$953,V$3,'Исходные данные'!$F$2:$F$953,$H15&amp;"")+SUMIFS('Исходные данные'!$J$2:$J$953,'Исходные данные'!$D$2:$D$953,V$3,'Исходные данные'!$F$2:$F$953,$H15&amp;"")))))</f>
        <v/>
      </c>
      <c r="W15" s="37">
        <f>IF(SUMIFS('Исходные данные'!$I$2:$I$953,'Исходные данные'!$D$2:$D$953,W$3,'Исходные данные'!$F$2:$F$953,$H15&amp;"")+SUMIFS('Исходные данные'!$J$2:$J$953,'Исходные данные'!$D$2:$D$953,W$3,'Исходные данные'!$F$2:$F$953,$H15&amp;"")=0,"",IF(SUMIFS('Исходные данные'!$J$2:$J$953,'Исходные данные'!$D$2:$D$953,W$3,'Исходные данные'!$F$2:$F$953,$H15&amp;"")=0,SUMIFS('Исходные данные'!$I$2:$I$953,'Исходные данные'!$D$2:$D$953,W$3,'Исходные данные'!$F$2:$F$953,$H15&amp;""),IF(SUMIFS('Исходные данные'!$I$2:$I$953,'Исходные данные'!$D$2:$D$953,W$3,'Исходные данные'!$F$2:$F$953,$H15&amp;"")=0,"0+"&amp;SUMIFS('Исходные данные'!$J$2:$J$953,'Исходные данные'!$D$2:$D$953,W$3,'Исходные данные'!$F$2:$F$953,$H15&amp;"")&amp;"="&amp;SUMIFS('Исходные данные'!$J$2:$J$953,'Исходные данные'!$D$2:$D$953,W$3,'Исходные данные'!$F$2:$F$953,$H15&amp;""),SUMIFS('Исходные данные'!$I$2:$I$953,'Исходные данные'!$D$2:$D$953,W$3,'Исходные данные'!$F$2:$F$953,$H15&amp;"")&amp;"+"&amp;SUMIFS('Исходные данные'!$J$2:$J$953,'Исходные данные'!$D$2:$D$953,W$3,'Исходные данные'!$F$2:$F$953,$H15&amp;"")&amp;"="&amp;(SUMIFS('Исходные данные'!$I$2:$I$953,'Исходные данные'!$D$2:$D$953,W$3,'Исходные данные'!$F$2:$F$953,$H15&amp;"")+SUMIFS('Исходные данные'!$J$2:$J$953,'Исходные данные'!$D$2:$D$953,W$3,'Исходные данные'!$F$2:$F$953,$H15&amp;"")))))</f>
        <v/>
      </c>
      <c r="X15" s="37">
        <f>IF(SUMIFS('Исходные данные'!$I$2:$I$953,'Исходные данные'!$D$2:$D$953,X$3,'Исходные данные'!$F$2:$F$953,$H15&amp;"")+SUMIFS('Исходные данные'!$J$2:$J$953,'Исходные данные'!$D$2:$D$953,X$3,'Исходные данные'!$F$2:$F$953,$H15&amp;"")=0,"",IF(SUMIFS('Исходные данные'!$J$2:$J$953,'Исходные данные'!$D$2:$D$953,X$3,'Исходные данные'!$F$2:$F$953,$H15&amp;"")=0,SUMIFS('Исходные данные'!$I$2:$I$953,'Исходные данные'!$D$2:$D$953,X$3,'Исходные данные'!$F$2:$F$953,$H15&amp;""),IF(SUMIFS('Исходные данные'!$I$2:$I$953,'Исходные данные'!$D$2:$D$953,X$3,'Исходные данные'!$F$2:$F$953,$H15&amp;"")=0,"0+"&amp;SUMIFS('Исходные данные'!$J$2:$J$953,'Исходные данные'!$D$2:$D$953,X$3,'Исходные данные'!$F$2:$F$953,$H15&amp;"")&amp;"="&amp;SUMIFS('Исходные данные'!$J$2:$J$953,'Исходные данные'!$D$2:$D$953,X$3,'Исходные данные'!$F$2:$F$953,$H15&amp;""),SUMIFS('Исходные данные'!$I$2:$I$953,'Исходные данные'!$D$2:$D$953,X$3,'Исходные данные'!$F$2:$F$953,$H15&amp;"")&amp;"+"&amp;SUMIFS('Исходные данные'!$J$2:$J$953,'Исходные данные'!$D$2:$D$953,X$3,'Исходные данные'!$F$2:$F$953,$H15&amp;"")&amp;"="&amp;(SUMIFS('Исходные данные'!$I$2:$I$953,'Исходные данные'!$D$2:$D$953,X$3,'Исходные данные'!$F$2:$F$953,$H15&amp;"")+SUMIFS('Исходные данные'!$J$2:$J$953,'Исходные данные'!$D$2:$D$953,X$3,'Исходные данные'!$F$2:$F$953,$H15&amp;"")))))</f>
        <v/>
      </c>
      <c r="Y15" s="39">
        <f>IF(SUMIFS('Исходные данные'!$I$2:$I$953,'Исходные данные'!$D$2:$D$953,Y$3,'Исходные данные'!$F$2:$F$953,$H15&amp;"")+SUMIFS('Исходные данные'!$J$2:$J$953,'Исходные данные'!$D$2:$D$953,Y$3,'Исходные данные'!$F$2:$F$953,$H15&amp;"")=0,"",IF(SUMIFS('Исходные данные'!$J$2:$J$953,'Исходные данные'!$D$2:$D$953,Y$3,'Исходные данные'!$F$2:$F$953,$H15&amp;"")=0,SUMIFS('Исходные данные'!$I$2:$I$953,'Исходные данные'!$D$2:$D$953,Y$3,'Исходные данные'!$F$2:$F$953,$H15&amp;""),IF(SUMIFS('Исходные данные'!$I$2:$I$953,'Исходные данные'!$D$2:$D$953,Y$3,'Исходные данные'!$F$2:$F$953,$H15&amp;"")=0,"0+"&amp;SUMIFS('Исходные данные'!$J$2:$J$953,'Исходные данные'!$D$2:$D$953,Y$3,'Исходные данные'!$F$2:$F$953,$H15&amp;"")&amp;"="&amp;SUMIFS('Исходные данные'!$J$2:$J$953,'Исходные данные'!$D$2:$D$953,Y$3,'Исходные данные'!$F$2:$F$953,$H15&amp;""),SUMIFS('Исходные данные'!$I$2:$I$953,'Исходные данные'!$D$2:$D$953,Y$3,'Исходные данные'!$F$2:$F$953,$H15&amp;"")&amp;"+"&amp;SUMIFS('Исходные данные'!$J$2:$J$953,'Исходные данные'!$D$2:$D$953,Y$3,'Исходные данные'!$F$2:$F$953,$H15&amp;"")&amp;"="&amp;(SUMIFS('Исходные данные'!$I$2:$I$953,'Исходные данные'!$D$2:$D$953,Y$3,'Исходные данные'!$F$2:$F$953,$H15&amp;"")+SUMIFS('Исходные данные'!$J$2:$J$953,'Исходные данные'!$D$2:$D$953,Y$3,'Исходные данные'!$F$2:$F$953,$H15&amp;"")))))</f>
        <v/>
      </c>
      <c r="Z15" s="36">
        <f>IF(SUMIFS('Исходные данные'!$I$2:$I$953,'Исходные данные'!$D$2:$D$953,Z$3,'Исходные данные'!$F$2:$F$953,$H15&amp;"")+SUMIFS('Исходные данные'!$J$2:$J$953,'Исходные данные'!$D$2:$D$953,Z$3,'Исходные данные'!$F$2:$F$953,$H15&amp;"")=0,"",IF(SUMIFS('Исходные данные'!$J$2:$J$953,'Исходные данные'!$D$2:$D$953,Z$3,'Исходные данные'!$F$2:$F$953,$H15&amp;"")=0,SUMIFS('Исходные данные'!$I$2:$I$953,'Исходные данные'!$D$2:$D$953,Z$3,'Исходные данные'!$F$2:$F$953,$H15&amp;""),IF(SUMIFS('Исходные данные'!$I$2:$I$953,'Исходные данные'!$D$2:$D$953,Z$3,'Исходные данные'!$F$2:$F$953,$H15&amp;"")=0,"0+"&amp;SUMIFS('Исходные данные'!$J$2:$J$953,'Исходные данные'!$D$2:$D$953,Z$3,'Исходные данные'!$F$2:$F$953,$H15&amp;"")&amp;"="&amp;SUMIFS('Исходные данные'!$J$2:$J$953,'Исходные данные'!$D$2:$D$953,Z$3,'Исходные данные'!$F$2:$F$953,$H15&amp;""),SUMIFS('Исходные данные'!$I$2:$I$953,'Исходные данные'!$D$2:$D$953,Z$3,'Исходные данные'!$F$2:$F$953,$H15&amp;"")&amp;"+"&amp;SUMIFS('Исходные данные'!$J$2:$J$953,'Исходные данные'!$D$2:$D$953,Z$3,'Исходные данные'!$F$2:$F$953,$H15&amp;"")&amp;"="&amp;(SUMIFS('Исходные данные'!$I$2:$I$953,'Исходные данные'!$D$2:$D$953,Z$3,'Исходные данные'!$F$2:$F$953,$H15&amp;"")+SUMIFS('Исходные данные'!$J$2:$J$953,'Исходные данные'!$D$2:$D$953,Z$3,'Исходные данные'!$F$2:$F$953,$H15&amp;"")))))</f>
        <v/>
      </c>
      <c r="AA15" s="37">
        <f>IF(SUMIFS('Исходные данные'!$I$2:$I$953,'Исходные данные'!$D$2:$D$953,AA$3,'Исходные данные'!$F$2:$F$953,$H15&amp;"")+SUMIFS('Исходные данные'!$J$2:$J$953,'Исходные данные'!$D$2:$D$953,AA$3,'Исходные данные'!$F$2:$F$953,$H15&amp;"")=0,"",IF(SUMIFS('Исходные данные'!$J$2:$J$953,'Исходные данные'!$D$2:$D$953,AA$3,'Исходные данные'!$F$2:$F$953,$H15&amp;"")=0,SUMIFS('Исходные данные'!$I$2:$I$953,'Исходные данные'!$D$2:$D$953,AA$3,'Исходные данные'!$F$2:$F$953,$H15&amp;""),IF(SUMIFS('Исходные данные'!$I$2:$I$953,'Исходные данные'!$D$2:$D$953,AA$3,'Исходные данные'!$F$2:$F$953,$H15&amp;"")=0,"0+"&amp;SUMIFS('Исходные данные'!$J$2:$J$953,'Исходные данные'!$D$2:$D$953,AA$3,'Исходные данные'!$F$2:$F$953,$H15&amp;"")&amp;"="&amp;SUMIFS('Исходные данные'!$J$2:$J$953,'Исходные данные'!$D$2:$D$953,AA$3,'Исходные данные'!$F$2:$F$953,$H15&amp;""),SUMIFS('Исходные данные'!$I$2:$I$953,'Исходные данные'!$D$2:$D$953,AA$3,'Исходные данные'!$F$2:$F$953,$H15&amp;"")&amp;"+"&amp;SUMIFS('Исходные данные'!$J$2:$J$953,'Исходные данные'!$D$2:$D$953,AA$3,'Исходные данные'!$F$2:$F$953,$H15&amp;"")&amp;"="&amp;(SUMIFS('Исходные данные'!$I$2:$I$953,'Исходные данные'!$D$2:$D$953,AA$3,'Исходные данные'!$F$2:$F$953,$H15&amp;"")+SUMIFS('Исходные данные'!$J$2:$J$953,'Исходные данные'!$D$2:$D$953,AA$3,'Исходные данные'!$F$2:$F$953,$H15&amp;"")))))</f>
        <v/>
      </c>
      <c r="AB15" s="37" t="n"/>
      <c r="AC15" s="39">
        <f>IF(SUMIFS('Исходные данные'!$I$2:$I$953,'Исходные данные'!$D$2:$D$953,AC$3,'Исходные данные'!$F$2:$F$953,$H15&amp;"")+SUMIFS('Исходные данные'!$J$2:$J$953,'Исходные данные'!$D$2:$D$953,AC$3,'Исходные данные'!$F$2:$F$953,$H15&amp;"")=0,"",IF(SUMIFS('Исходные данные'!$J$2:$J$953,'Исходные данные'!$D$2:$D$953,AC$3,'Исходные данные'!$F$2:$F$953,$H15&amp;"")=0,SUMIFS('Исходные данные'!$I$2:$I$953,'Исходные данные'!$D$2:$D$953,AC$3,'Исходные данные'!$F$2:$F$953,$H15&amp;""),IF(SUMIFS('Исходные данные'!$I$2:$I$953,'Исходные данные'!$D$2:$D$953,AC$3,'Исходные данные'!$F$2:$F$953,$H15&amp;"")=0,"0+"&amp;SUMIFS('Исходные данные'!$J$2:$J$953,'Исходные данные'!$D$2:$D$953,AC$3,'Исходные данные'!$F$2:$F$953,$H15&amp;"")&amp;"="&amp;SUMIFS('Исходные данные'!$J$2:$J$953,'Исходные данные'!$D$2:$D$953,AC$3,'Исходные данные'!$F$2:$F$953,$H15&amp;""),SUMIFS('Исходные данные'!$I$2:$I$953,'Исходные данные'!$D$2:$D$953,AC$3,'Исходные данные'!$F$2:$F$953,$H15&amp;"")&amp;"+"&amp;SUMIFS('Исходные данные'!$J$2:$J$953,'Исходные данные'!$D$2:$D$953,AC$3,'Исходные данные'!$F$2:$F$953,$H15&amp;"")&amp;"="&amp;(SUMIFS('Исходные данные'!$I$2:$I$953,'Исходные данные'!$D$2:$D$953,AC$3,'Исходные данные'!$F$2:$F$953,$H15&amp;"")+SUMIFS('Исходные данные'!$J$2:$J$953,'Исходные данные'!$D$2:$D$953,AC$3,'Исходные данные'!$F$2:$F$953,$H15&amp;"")))))</f>
        <v/>
      </c>
      <c r="AD15" s="37">
        <f>IF(SUMIFS('Исходные данные'!$I$2:$I$953,'Исходные данные'!$D$2:$D$953,AD$3,'Исходные данные'!$F$2:$F$953,$H15&amp;"")+SUMIFS('Исходные данные'!$J$2:$J$953,'Исходные данные'!$D$2:$D$953,AD$3,'Исходные данные'!$F$2:$F$953,$H15&amp;"")=0,"",IF(SUMIFS('Исходные данные'!$J$2:$J$953,'Исходные данные'!$D$2:$D$953,AD$3,'Исходные данные'!$F$2:$F$953,$H15&amp;"")=0,SUMIFS('Исходные данные'!$I$2:$I$953,'Исходные данные'!$D$2:$D$953,AD$3,'Исходные данные'!$F$2:$F$953,$H15&amp;""),IF(SUMIFS('Исходные данные'!$I$2:$I$953,'Исходные данные'!$D$2:$D$953,AD$3,'Исходные данные'!$F$2:$F$953,$H15&amp;"")=0,"0+"&amp;SUMIFS('Исходные данные'!$J$2:$J$953,'Исходные данные'!$D$2:$D$953,AD$3,'Исходные данные'!$F$2:$F$953,$H15&amp;"")&amp;"="&amp;SUMIFS('Исходные данные'!$J$2:$J$953,'Исходные данные'!$D$2:$D$953,AD$3,'Исходные данные'!$F$2:$F$953,$H15&amp;""),SUMIFS('Исходные данные'!$I$2:$I$953,'Исходные данные'!$D$2:$D$953,AD$3,'Исходные данные'!$F$2:$F$953,$H15&amp;"")&amp;"+"&amp;SUMIFS('Исходные данные'!$J$2:$J$953,'Исходные данные'!$D$2:$D$953,AD$3,'Исходные данные'!$F$2:$F$953,$H15&amp;"")&amp;"="&amp;(SUMIFS('Исходные данные'!$I$2:$I$953,'Исходные данные'!$D$2:$D$953,AD$3,'Исходные данные'!$F$2:$F$953,$H15&amp;"")+SUMIFS('Исходные данные'!$J$2:$J$953,'Исходные данные'!$D$2:$D$953,AD$3,'Исходные данные'!$F$2:$F$953,$H15&amp;"")))))</f>
        <v/>
      </c>
    </row>
    <row r="16" ht="25.5" customHeight="1">
      <c r="A16" s="26" t="n">
        <v>14</v>
      </c>
      <c r="B16" s="95" t="n"/>
      <c r="C16" s="117" t="n"/>
      <c r="D16" s="118" t="n"/>
      <c r="E16" s="117" t="n"/>
      <c r="F16" s="117" t="n"/>
      <c r="G16" s="102" t="n"/>
      <c r="H16" s="56" t="n"/>
      <c r="I16" s="41" t="n"/>
      <c r="J16" s="73" t="n"/>
      <c r="K16" s="67" t="n"/>
      <c r="L16" s="85" t="n"/>
      <c r="M16" s="79" t="n"/>
      <c r="N16" s="79" t="n"/>
      <c r="O16" s="42">
        <f>IF(SUMIFS('Исходные данные'!$I$2:$I$953,'Исходные данные'!$D$2:$D$953,O$3,'Исходные данные'!$F$2:$F$953,$H17&amp;"",'Исходные данные'!$L$2:$L$953,"УТТ")+SUMIFS('Исходные данные'!$J$2:$J$953,'Исходные данные'!$D$2:$D$953,O$3,'Исходные данные'!$F$2:$F$953,$H17&amp;"",'Исходные данные'!$L$2:$L$953,"УТТ")=0,"","утт-"&amp;(SUMIFS('Исходные данные'!$I$2:$I$953,'Исходные данные'!$D$2:$D$953,O$3,'Исходные данные'!$F$2:$F$953,$H17&amp;"",'Исходные данные'!$L$2:$L$953,"УТТ")+SUMIFS('Исходные данные'!$J$2:$J$953,'Исходные данные'!$D$2:$D$953,O$3,'Исходные данные'!$F$2:$F$953,$H17&amp;"",'Исходные данные'!$L$2:$L$953,"УТТ")))</f>
        <v/>
      </c>
      <c r="P16" s="43">
        <f>IF(SUMIFS('Исходные данные'!$I$2:$I$953,'Исходные данные'!$D$2:$D$953,P$3,'Исходные данные'!$F$2:$F$953,$H17&amp;"",'Исходные данные'!$L$2:$L$953,"УТТ")+SUMIFS('Исходные данные'!$J$2:$J$953,'Исходные данные'!$D$2:$D$953,P$3,'Исходные данные'!$F$2:$F$953,$H17&amp;"",'Исходные данные'!$L$2:$L$953,"УТТ")=0,"","утт-"&amp;(SUMIFS('Исходные данные'!$I$2:$I$953,'Исходные данные'!$D$2:$D$953,P$3,'Исходные данные'!$F$2:$F$953,$H17&amp;"",'Исходные данные'!$L$2:$L$953,"УТТ")+SUMIFS('Исходные данные'!$J$2:$J$953,'Исходные данные'!$D$2:$D$953,P$3,'Исходные данные'!$F$2:$F$953,$H17&amp;"",'Исходные данные'!$L$2:$L$953,"УТТ")))</f>
        <v/>
      </c>
      <c r="Q16" s="42">
        <f>IF(SUMIFS('Исходные данные'!$I$2:$I$953,'Исходные данные'!$D$2:$D$953,Q$3,'Исходные данные'!$F$2:$F$953,$H17&amp;"",'Исходные данные'!$L$2:$L$953,"УТТ")+SUMIFS('Исходные данные'!$J$2:$J$953,'Исходные данные'!$D$2:$D$953,Q$3,'Исходные данные'!$F$2:$F$953,$H17&amp;"",'Исходные данные'!$L$2:$L$953,"УТТ")=0,"","утт-"&amp;(SUMIFS('Исходные данные'!$I$2:$I$953,'Исходные данные'!$D$2:$D$953,Q$3,'Исходные данные'!$F$2:$F$953,$H17&amp;"",'Исходные данные'!$L$2:$L$953,"УТТ")+SUMIFS('Исходные данные'!$J$2:$J$953,'Исходные данные'!$D$2:$D$953,Q$3,'Исходные данные'!$F$2:$F$953,$H17&amp;"",'Исходные данные'!$L$2:$L$953,"УТТ")))</f>
        <v/>
      </c>
      <c r="R16" s="44">
        <f>IF(SUMIFS('Исходные данные'!$I$2:$I$953,'Исходные данные'!$D$2:$D$953,R$3,'Исходные данные'!$F$2:$F$953,$H17&amp;"",'Исходные данные'!$L$2:$L$953,"УТТ")+SUMIFS('Исходные данные'!$J$2:$J$953,'Исходные данные'!$D$2:$D$953,R$3,'Исходные данные'!$F$2:$F$953,$H17&amp;"",'Исходные данные'!$L$2:$L$953,"УТТ")=0,"","утт-"&amp;(SUMIFS('Исходные данные'!$I$2:$I$953,'Исходные данные'!$D$2:$D$953,R$3,'Исходные данные'!$F$2:$F$953,$H17&amp;"",'Исходные данные'!$L$2:$L$953,"УТТ")+SUMIFS('Исходные данные'!$J$2:$J$953,'Исходные данные'!$D$2:$D$953,R$3,'Исходные данные'!$F$2:$F$953,$H17&amp;"",'Исходные данные'!$L$2:$L$953,"УТТ")))</f>
        <v/>
      </c>
      <c r="S16" s="43">
        <f>IF(SUMIFS('Исходные данные'!$I$2:$I$953,'Исходные данные'!$D$2:$D$953,S$3,'Исходные данные'!$F$2:$F$953,$H17&amp;"",'Исходные данные'!$L$2:$L$953,"УТТ")+SUMIFS('Исходные данные'!$J$2:$J$953,'Исходные данные'!$D$2:$D$953,S$3,'Исходные данные'!$F$2:$F$953,$H17&amp;"",'Исходные данные'!$L$2:$L$953,"УТТ")=0,"","утт-"&amp;(SUMIFS('Исходные данные'!$I$2:$I$953,'Исходные данные'!$D$2:$D$953,S$3,'Исходные данные'!$F$2:$F$953,$H17&amp;"",'Исходные данные'!$L$2:$L$953,"УТТ")+SUMIFS('Исходные данные'!$J$2:$J$953,'Исходные данные'!$D$2:$D$953,S$3,'Исходные данные'!$F$2:$F$953,$H17&amp;"",'Исходные данные'!$L$2:$L$953,"УТТ")))</f>
        <v/>
      </c>
      <c r="T16" s="42">
        <f>IF(SUMIFS('Исходные данные'!$I$2:$I$953,'Исходные данные'!$D$2:$D$953,T$3,'Исходные данные'!$F$2:$F$953,$H17&amp;"",'Исходные данные'!$L$2:$L$953,"УТТ")+SUMIFS('Исходные данные'!$J$2:$J$953,'Исходные данные'!$D$2:$D$953,T$3,'Исходные данные'!$F$2:$F$953,$H17&amp;"",'Исходные данные'!$L$2:$L$953,"УТТ")=0,"","утт-"&amp;(SUMIFS('Исходные данные'!$I$2:$I$953,'Исходные данные'!$D$2:$D$953,T$3,'Исходные данные'!$F$2:$F$953,$H17&amp;"",'Исходные данные'!$L$2:$L$953,"УТТ")+SUMIFS('Исходные данные'!$J$2:$J$953,'Исходные данные'!$D$2:$D$953,T$3,'Исходные данные'!$F$2:$F$953,$H17&amp;"",'Исходные данные'!$L$2:$L$953,"УТТ")))</f>
        <v/>
      </c>
      <c r="U16" s="43">
        <f>IF(SUMIFS('Исходные данные'!$I$2:$I$953,'Исходные данные'!$D$2:$D$953,U$3,'Исходные данные'!$F$2:$F$953,$H17&amp;"",'Исходные данные'!$L$2:$L$953,"УТТ")+SUMIFS('Исходные данные'!$J$2:$J$953,'Исходные данные'!$D$2:$D$953,U$3,'Исходные данные'!$F$2:$F$953,$H17&amp;"",'Исходные данные'!$L$2:$L$953,"УТТ")=0,"","утт-"&amp;(SUMIFS('Исходные данные'!$I$2:$I$953,'Исходные данные'!$D$2:$D$953,U$3,'Исходные данные'!$F$2:$F$953,$H17&amp;"",'Исходные данные'!$L$2:$L$953,"УТТ")+SUMIFS('Исходные данные'!$J$2:$J$953,'Исходные данные'!$D$2:$D$953,U$3,'Исходные данные'!$F$2:$F$953,$H17&amp;"",'Исходные данные'!$L$2:$L$953,"УТТ")))</f>
        <v/>
      </c>
      <c r="V16" s="42">
        <f>IF(SUMIFS('Исходные данные'!$I$2:$I$953,'Исходные данные'!$D$2:$D$953,V$3,'Исходные данные'!$F$2:$F$953,$H17&amp;"",'Исходные данные'!$L$2:$L$953,"УТТ")+SUMIFS('Исходные данные'!$J$2:$J$953,'Исходные данные'!$D$2:$D$953,V$3,'Исходные данные'!$F$2:$F$953,$H17&amp;"",'Исходные данные'!$L$2:$L$953,"УТТ")=0,"","утт-"&amp;(SUMIFS('Исходные данные'!$I$2:$I$953,'Исходные данные'!$D$2:$D$953,V$3,'Исходные данные'!$F$2:$F$953,$H17&amp;"",'Исходные данные'!$L$2:$L$953,"УТТ")+SUMIFS('Исходные данные'!$J$2:$J$953,'Исходные данные'!$D$2:$D$953,V$3,'Исходные данные'!$F$2:$F$953,$H17&amp;"",'Исходные данные'!$L$2:$L$953,"УТТ")))</f>
        <v/>
      </c>
      <c r="W16" s="43">
        <f>IF(SUMIFS('Исходные данные'!$I$2:$I$953,'Исходные данные'!$D$2:$D$953,W$3,'Исходные данные'!$F$2:$F$953,$H17&amp;"",'Исходные данные'!$L$2:$L$953,"УТТ")+SUMIFS('Исходные данные'!$J$2:$J$953,'Исходные данные'!$D$2:$D$953,W$3,'Исходные данные'!$F$2:$F$953,$H17&amp;"",'Исходные данные'!$L$2:$L$953,"УТТ")=0,"","утт-"&amp;(SUMIFS('Исходные данные'!$I$2:$I$953,'Исходные данные'!$D$2:$D$953,W$3,'Исходные данные'!$F$2:$F$953,$H17&amp;"",'Исходные данные'!$L$2:$L$953,"УТТ")+SUMIFS('Исходные данные'!$J$2:$J$953,'Исходные данные'!$D$2:$D$953,W$3,'Исходные данные'!$F$2:$F$953,$H17&amp;"",'Исходные данные'!$L$2:$L$953,"УТТ")))</f>
        <v/>
      </c>
      <c r="X16" s="43">
        <f>IF(SUMIFS('Исходные данные'!$I$2:$I$953,'Исходные данные'!$D$2:$D$953,X$3,'Исходные данные'!$F$2:$F$953,$H17&amp;"",'Исходные данные'!$L$2:$L$953,"УТТ")+SUMIFS('Исходные данные'!$J$2:$J$953,'Исходные данные'!$D$2:$D$953,X$3,'Исходные данные'!$F$2:$F$953,$H17&amp;"",'Исходные данные'!$L$2:$L$953,"УТТ")=0,"","утт-"&amp;(SUMIFS('Исходные данные'!$I$2:$I$953,'Исходные данные'!$D$2:$D$953,X$3,'Исходные данные'!$F$2:$F$953,$H17&amp;"",'Исходные данные'!$L$2:$L$953,"УТТ")+SUMIFS('Исходные данные'!$J$2:$J$953,'Исходные данные'!$D$2:$D$953,X$3,'Исходные данные'!$F$2:$F$953,$H17&amp;"",'Исходные данные'!$L$2:$L$953,"УТТ")))</f>
        <v/>
      </c>
      <c r="Y16" s="45">
        <f>IF(SUMIFS('Исходные данные'!$I$2:$I$953,'Исходные данные'!$D$2:$D$953,Y$3,'Исходные данные'!$F$2:$F$953,$H17&amp;"",'Исходные данные'!$L$2:$L$953,"УТТ")+SUMIFS('Исходные данные'!$J$2:$J$953,'Исходные данные'!$D$2:$D$953,Y$3,'Исходные данные'!$F$2:$F$953,$H17&amp;"",'Исходные данные'!$L$2:$L$953,"УТТ")=0,"","утт-"&amp;(SUMIFS('Исходные данные'!$I$2:$I$953,'Исходные данные'!$D$2:$D$953,Y$3,'Исходные данные'!$F$2:$F$953,$H17&amp;"",'Исходные данные'!$L$2:$L$953,"УТТ")+SUMIFS('Исходные данные'!$J$2:$J$953,'Исходные данные'!$D$2:$D$953,Y$3,'Исходные данные'!$F$2:$F$953,$H17&amp;"",'Исходные данные'!$L$2:$L$953,"УТТ")))</f>
        <v/>
      </c>
      <c r="Z16" s="42">
        <f>IF(SUMIFS('Исходные данные'!$I$2:$I$953,'Исходные данные'!$D$2:$D$953,Z$3,'Исходные данные'!$F$2:$F$953,$H17&amp;"",'Исходные данные'!$L$2:$L$953,"УТТ")+SUMIFS('Исходные данные'!$J$2:$J$953,'Исходные данные'!$D$2:$D$953,Z$3,'Исходные данные'!$F$2:$F$953,$H17&amp;"",'Исходные данные'!$L$2:$L$953,"УТТ")=0,"","утт-"&amp;(SUMIFS('Исходные данные'!$I$2:$I$953,'Исходные данные'!$D$2:$D$953,Z$3,'Исходные данные'!$F$2:$F$953,$H17&amp;"",'Исходные данные'!$L$2:$L$953,"УТТ")+SUMIFS('Исходные данные'!$J$2:$J$953,'Исходные данные'!$D$2:$D$953,Z$3,'Исходные данные'!$F$2:$F$953,$H17&amp;"",'Исходные данные'!$L$2:$L$953,"УТТ")))</f>
        <v/>
      </c>
      <c r="AA16" s="43">
        <f>IF(SUMIFS('Исходные данные'!$I$2:$I$953,'Исходные данные'!$D$2:$D$953,AA$3,'Исходные данные'!$F$2:$F$953,$H17&amp;"",'Исходные данные'!$L$2:$L$953,"УТТ")+SUMIFS('Исходные данные'!$J$2:$J$953,'Исходные данные'!$D$2:$D$953,AA$3,'Исходные данные'!$F$2:$F$953,$H17&amp;"",'Исходные данные'!$L$2:$L$953,"УТТ")=0,"","утт-"&amp;(SUMIFS('Исходные данные'!$I$2:$I$953,'Исходные данные'!$D$2:$D$953,AA$3,'Исходные данные'!$F$2:$F$953,$H17&amp;"",'Исходные данные'!$L$2:$L$953,"УТТ")+SUMIFS('Исходные данные'!$J$2:$J$953,'Исходные данные'!$D$2:$D$953,AA$3,'Исходные данные'!$F$2:$F$953,$H17&amp;"",'Исходные данные'!$L$2:$L$953,"УТТ")))</f>
        <v/>
      </c>
      <c r="AB16" s="43" t="n"/>
      <c r="AC16" s="42">
        <f>IF(SUMIFS('Исходные данные'!$I$2:$I$953,'Исходные данные'!$D$2:$D$953,AC$3,'Исходные данные'!$F$2:$F$953,$H17&amp;"",'Исходные данные'!$L$2:$L$953,"УТТ")+SUMIFS('Исходные данные'!$J$2:$J$953,'Исходные данные'!$D$2:$D$953,AC$3,'Исходные данные'!$F$2:$F$953,$H17&amp;"",'Исходные данные'!$L$2:$L$953,"УТТ")=0,"","утт-"&amp;(SUMIFS('Исходные данные'!$I$2:$I$953,'Исходные данные'!$D$2:$D$953,AC$3,'Исходные данные'!$F$2:$F$953,$H17&amp;"",'Исходные данные'!$L$2:$L$953,"УТТ")+SUMIFS('Исходные данные'!$J$2:$J$953,'Исходные данные'!$D$2:$D$953,AC$3,'Исходные данные'!$F$2:$F$953,$H17&amp;"",'Исходные данные'!$L$2:$L$953,"УТТ")))</f>
        <v/>
      </c>
      <c r="AD16" s="43">
        <f>IF(SUMIFS('Исходные данные'!$I$2:$I$953,'Исходные данные'!$D$2:$D$953,AD$3,'Исходные данные'!$F$2:$F$953,$H17&amp;"",'Исходные данные'!$L$2:$L$953,"УТТ")+SUMIFS('Исходные данные'!$J$2:$J$953,'Исходные данные'!$D$2:$D$953,AD$3,'Исходные данные'!$F$2:$F$953,$H17&amp;"",'Исходные данные'!$L$2:$L$953,"УТТ")=0,"","утт-"&amp;(SUMIFS('Исходные данные'!$I$2:$I$953,'Исходные данные'!$D$2:$D$953,AD$3,'Исходные данные'!$F$2:$F$953,$H17&amp;"",'Исходные данные'!$L$2:$L$953,"УТТ")+SUMIFS('Исходные данные'!$J$2:$J$953,'Исходные данные'!$D$2:$D$953,AD$3,'Исходные данные'!$F$2:$F$953,$H17&amp;"",'Исходные данные'!$L$2:$L$953,"УТТ")))</f>
        <v/>
      </c>
    </row>
    <row r="17" ht="25.5" customHeight="1">
      <c r="A17" s="34" t="n">
        <v>15</v>
      </c>
      <c r="B17" s="95" t="n"/>
      <c r="C17" s="117" t="n"/>
      <c r="D17" s="118" t="n"/>
      <c r="E17" s="117" t="n"/>
      <c r="F17" s="117" t="n"/>
      <c r="G17" s="102" t="n"/>
      <c r="H17" s="56" t="n">
        <v>31</v>
      </c>
      <c r="I17" s="35" t="inlineStr">
        <is>
          <t>ЦА-320</t>
        </is>
      </c>
      <c r="J17" s="72">
        <f>IFERROR(INDEX('Выход ТС'!$C:$C,MATCH($H17&amp;"",'Выход ТС'!$A:$A,0)),"")</f>
        <v/>
      </c>
      <c r="K17" s="66">
        <f>IFERROR(INDEX('Выход ТС'!$D:$D,MATCH($H17&amp;"",'Выход ТС'!$A:$A,0)),"")</f>
        <v/>
      </c>
      <c r="L17" s="84">
        <f>IFERROR(INDEX('Выход ТС'!$E:$E,MATCH($H17&amp;"",'Выход ТС'!$A:$A,0)),"")</f>
        <v/>
      </c>
      <c r="M17" s="78">
        <f>IFERROR(IF(INDEX('Выход ТС'!$F:$F,MATCH($H17&amp;"",'Выход ТС'!$A:$A,0))=0,"",INDEX('Выход ТС'!$F:$F,MATCH($H17&amp;"",'Выход ТС'!$A:$A,0))),"")</f>
        <v/>
      </c>
      <c r="N17" s="78">
        <f>IFERROR(IF(INDEX('Выход ТС'!$G:$G,MATCH($H17&amp;"",'Выход ТС'!$A:$A,0))=0,"",INDEX('Выход ТС'!$G:$G,MATCH($H17&amp;"",'Выход ТС'!$A:$A,0))),"")</f>
        <v/>
      </c>
      <c r="O17" s="39">
        <f>IF(SUMIFS('Исходные данные'!$I$2:$I$953,'Исходные данные'!$D$2:$D$953,O$3,'Исходные данные'!$F$2:$F$953,$H17&amp;"")+SUMIFS('Исходные данные'!$J$2:$J$953,'Исходные данные'!$D$2:$D$953,O$3,'Исходные данные'!$F$2:$F$953,$H17&amp;"")=0,"",IF(SUMIFS('Исходные данные'!$J$2:$J$953,'Исходные данные'!$D$2:$D$953,O$3,'Исходные данные'!$F$2:$F$953,$H17&amp;"")=0,SUMIFS('Исходные данные'!$I$2:$I$953,'Исходные данные'!$D$2:$D$953,O$3,'Исходные данные'!$F$2:$F$953,$H17&amp;""),IF(SUMIFS('Исходные данные'!$I$2:$I$953,'Исходные данные'!$D$2:$D$953,O$3,'Исходные данные'!$F$2:$F$953,$H17&amp;"")=0,"0+"&amp;SUMIFS('Исходные данные'!$J$2:$J$953,'Исходные данные'!$D$2:$D$953,O$3,'Исходные данные'!$F$2:$F$953,$H17&amp;"")&amp;"="&amp;SUMIFS('Исходные данные'!$J$2:$J$953,'Исходные данные'!$D$2:$D$953,O$3,'Исходные данные'!$F$2:$F$953,$H17&amp;""),SUMIFS('Исходные данные'!$I$2:$I$953,'Исходные данные'!$D$2:$D$953,O$3,'Исходные данные'!$F$2:$F$953,$H17&amp;"")&amp;"+"&amp;SUMIFS('Исходные данные'!$J$2:$J$953,'Исходные данные'!$D$2:$D$953,O$3,'Исходные данные'!$F$2:$F$953,$H17&amp;"")&amp;"="&amp;(SUMIFS('Исходные данные'!$I$2:$I$953,'Исходные данные'!$D$2:$D$953,O$3,'Исходные данные'!$F$2:$F$953,$H17&amp;"")+SUMIFS('Исходные данные'!$J$2:$J$953,'Исходные данные'!$D$2:$D$953,O$3,'Исходные данные'!$F$2:$F$953,$H17&amp;"")))))</f>
        <v/>
      </c>
      <c r="P17" s="37">
        <f>IF(SUMIFS('Исходные данные'!$I$2:$I$953,'Исходные данные'!$D$2:$D$953,P$3,'Исходные данные'!$F$2:$F$953,$H17&amp;"")+SUMIFS('Исходные данные'!$J$2:$J$953,'Исходные данные'!$D$2:$D$953,P$3,'Исходные данные'!$F$2:$F$953,$H17&amp;"")=0,"",IF(SUMIFS('Исходные данные'!$J$2:$J$953,'Исходные данные'!$D$2:$D$953,P$3,'Исходные данные'!$F$2:$F$953,$H17&amp;"")=0,SUMIFS('Исходные данные'!$I$2:$I$953,'Исходные данные'!$D$2:$D$953,P$3,'Исходные данные'!$F$2:$F$953,$H17&amp;""),IF(SUMIFS('Исходные данные'!$I$2:$I$953,'Исходные данные'!$D$2:$D$953,P$3,'Исходные данные'!$F$2:$F$953,$H17&amp;"")=0,"0+"&amp;SUMIFS('Исходные данные'!$J$2:$J$953,'Исходные данные'!$D$2:$D$953,P$3,'Исходные данные'!$F$2:$F$953,$H17&amp;"")&amp;"="&amp;SUMIFS('Исходные данные'!$J$2:$J$953,'Исходные данные'!$D$2:$D$953,P$3,'Исходные данные'!$F$2:$F$953,$H17&amp;""),SUMIFS('Исходные данные'!$I$2:$I$953,'Исходные данные'!$D$2:$D$953,P$3,'Исходные данные'!$F$2:$F$953,$H17&amp;"")&amp;"+"&amp;SUMIFS('Исходные данные'!$J$2:$J$953,'Исходные данные'!$D$2:$D$953,P$3,'Исходные данные'!$F$2:$F$953,$H17&amp;"")&amp;"="&amp;(SUMIFS('Исходные данные'!$I$2:$I$953,'Исходные данные'!$D$2:$D$953,P$3,'Исходные данные'!$F$2:$F$953,$H17&amp;"")+SUMIFS('Исходные данные'!$J$2:$J$953,'Исходные данные'!$D$2:$D$953,P$3,'Исходные данные'!$F$2:$F$953,$H17&amp;"")))))</f>
        <v/>
      </c>
      <c r="Q17" s="37">
        <f>IF(SUMIFS('Исходные данные'!$I$2:$I$953,'Исходные данные'!$D$2:$D$953,Q$3,'Исходные данные'!$F$2:$F$953,$H17&amp;"")+SUMIFS('Исходные данные'!$J$2:$J$953,'Исходные данные'!$D$2:$D$953,Q$3,'Исходные данные'!$F$2:$F$953,$H17&amp;"")=0,"",IF(SUMIFS('Исходные данные'!$J$2:$J$953,'Исходные данные'!$D$2:$D$953,Q$3,'Исходные данные'!$F$2:$F$953,$H17&amp;"")=0,SUMIFS('Исходные данные'!$I$2:$I$953,'Исходные данные'!$D$2:$D$953,Q$3,'Исходные данные'!$F$2:$F$953,$H17&amp;""),IF(SUMIFS('Исходные данные'!$I$2:$I$953,'Исходные данные'!$D$2:$D$953,Q$3,'Исходные данные'!$F$2:$F$953,$H17&amp;"")=0,"0+"&amp;SUMIFS('Исходные данные'!$J$2:$J$953,'Исходные данные'!$D$2:$D$953,Q$3,'Исходные данные'!$F$2:$F$953,$H17&amp;"")&amp;"="&amp;SUMIFS('Исходные данные'!$J$2:$J$953,'Исходные данные'!$D$2:$D$953,Q$3,'Исходные данные'!$F$2:$F$953,$H17&amp;""),SUMIFS('Исходные данные'!$I$2:$I$953,'Исходные данные'!$D$2:$D$953,Q$3,'Исходные данные'!$F$2:$F$953,$H17&amp;"")&amp;"+"&amp;SUMIFS('Исходные данные'!$J$2:$J$953,'Исходные данные'!$D$2:$D$953,Q$3,'Исходные данные'!$F$2:$F$953,$H17&amp;"")&amp;"="&amp;(SUMIFS('Исходные данные'!$I$2:$I$953,'Исходные данные'!$D$2:$D$953,Q$3,'Исходные данные'!$F$2:$F$953,$H17&amp;"")+SUMIFS('Исходные данные'!$J$2:$J$953,'Исходные данные'!$D$2:$D$953,Q$3,'Исходные данные'!$F$2:$F$953,$H17&amp;"")))))</f>
        <v/>
      </c>
      <c r="R17" s="38">
        <f>IF(SUMIFS('Исходные данные'!$I$2:$I$953,'Исходные данные'!$D$2:$D$953,R$3,'Исходные данные'!$F$2:$F$953,$H17&amp;"")+SUMIFS('Исходные данные'!$J$2:$J$953,'Исходные данные'!$D$2:$D$953,R$3,'Исходные данные'!$F$2:$F$953,$H17&amp;"")=0,"",IF(SUMIFS('Исходные данные'!$J$2:$J$953,'Исходные данные'!$D$2:$D$953,R$3,'Исходные данные'!$F$2:$F$953,$H17&amp;"")=0,SUMIFS('Исходные данные'!$I$2:$I$953,'Исходные данные'!$D$2:$D$953,R$3,'Исходные данные'!$F$2:$F$953,$H17&amp;""),IF(SUMIFS('Исходные данные'!$I$2:$I$953,'Исходные данные'!$D$2:$D$953,R$3,'Исходные данные'!$F$2:$F$953,$H17&amp;"")=0,"0+"&amp;SUMIFS('Исходные данные'!$J$2:$J$953,'Исходные данные'!$D$2:$D$953,R$3,'Исходные данные'!$F$2:$F$953,$H17&amp;"")&amp;"="&amp;SUMIFS('Исходные данные'!$J$2:$J$953,'Исходные данные'!$D$2:$D$953,R$3,'Исходные данные'!$F$2:$F$953,$H17&amp;""),SUMIFS('Исходные данные'!$I$2:$I$953,'Исходные данные'!$D$2:$D$953,R$3,'Исходные данные'!$F$2:$F$953,$H17&amp;"")&amp;"+"&amp;SUMIFS('Исходные данные'!$J$2:$J$953,'Исходные данные'!$D$2:$D$953,R$3,'Исходные данные'!$F$2:$F$953,$H17&amp;"")&amp;"="&amp;(SUMIFS('Исходные данные'!$I$2:$I$953,'Исходные данные'!$D$2:$D$953,R$3,'Исходные данные'!$F$2:$F$953,$H17&amp;"")+SUMIFS('Исходные данные'!$J$2:$J$953,'Исходные данные'!$D$2:$D$953,R$3,'Исходные данные'!$F$2:$F$953,$H17&amp;"")))))</f>
        <v/>
      </c>
      <c r="S17" s="37">
        <f>IF(SUMIFS('Исходные данные'!$I$2:$I$953,'Исходные данные'!$D$2:$D$953,S$3,'Исходные данные'!$F$2:$F$953,$H17&amp;"")+SUMIFS('Исходные данные'!$J$2:$J$953,'Исходные данные'!$D$2:$D$953,S$3,'Исходные данные'!$F$2:$F$953,$H17&amp;"")=0,"",IF(SUMIFS('Исходные данные'!$J$2:$J$953,'Исходные данные'!$D$2:$D$953,S$3,'Исходные данные'!$F$2:$F$953,$H17&amp;"")=0,SUMIFS('Исходные данные'!$I$2:$I$953,'Исходные данные'!$D$2:$D$953,S$3,'Исходные данные'!$F$2:$F$953,$H17&amp;""),IF(SUMIFS('Исходные данные'!$I$2:$I$953,'Исходные данные'!$D$2:$D$953,S$3,'Исходные данные'!$F$2:$F$953,$H17&amp;"")=0,"0+"&amp;SUMIFS('Исходные данные'!$J$2:$J$953,'Исходные данные'!$D$2:$D$953,S$3,'Исходные данные'!$F$2:$F$953,$H17&amp;"")&amp;"="&amp;SUMIFS('Исходные данные'!$J$2:$J$953,'Исходные данные'!$D$2:$D$953,S$3,'Исходные данные'!$F$2:$F$953,$H17&amp;""),SUMIFS('Исходные данные'!$I$2:$I$953,'Исходные данные'!$D$2:$D$953,S$3,'Исходные данные'!$F$2:$F$953,$H17&amp;"")&amp;"+"&amp;SUMIFS('Исходные данные'!$J$2:$J$953,'Исходные данные'!$D$2:$D$953,S$3,'Исходные данные'!$F$2:$F$953,$H17&amp;"")&amp;"="&amp;(SUMIFS('Исходные данные'!$I$2:$I$953,'Исходные данные'!$D$2:$D$953,S$3,'Исходные данные'!$F$2:$F$953,$H17&amp;"")+SUMIFS('Исходные данные'!$J$2:$J$953,'Исходные данные'!$D$2:$D$953,S$3,'Исходные данные'!$F$2:$F$953,$H17&amp;"")))))</f>
        <v/>
      </c>
      <c r="T17" s="36">
        <f>IF(SUMIFS('Исходные данные'!$I$2:$I$953,'Исходные данные'!$D$2:$D$953,T$3,'Исходные данные'!$F$2:$F$953,$H17&amp;"")+SUMIFS('Исходные данные'!$J$2:$J$953,'Исходные данные'!$D$2:$D$953,T$3,'Исходные данные'!$F$2:$F$953,$H17&amp;"")=0,"",IF(SUMIFS('Исходные данные'!$J$2:$J$953,'Исходные данные'!$D$2:$D$953,T$3,'Исходные данные'!$F$2:$F$953,$H17&amp;"")=0,SUMIFS('Исходные данные'!$I$2:$I$953,'Исходные данные'!$D$2:$D$953,T$3,'Исходные данные'!$F$2:$F$953,$H17&amp;""),IF(SUMIFS('Исходные данные'!$I$2:$I$953,'Исходные данные'!$D$2:$D$953,T$3,'Исходные данные'!$F$2:$F$953,$H17&amp;"")=0,"0+"&amp;SUMIFS('Исходные данные'!$J$2:$J$953,'Исходные данные'!$D$2:$D$953,T$3,'Исходные данные'!$F$2:$F$953,$H17&amp;"")&amp;"="&amp;SUMIFS('Исходные данные'!$J$2:$J$953,'Исходные данные'!$D$2:$D$953,T$3,'Исходные данные'!$F$2:$F$953,$H17&amp;""),SUMIFS('Исходные данные'!$I$2:$I$953,'Исходные данные'!$D$2:$D$953,T$3,'Исходные данные'!$F$2:$F$953,$H17&amp;"")&amp;"+"&amp;SUMIFS('Исходные данные'!$J$2:$J$953,'Исходные данные'!$D$2:$D$953,T$3,'Исходные данные'!$F$2:$F$953,$H17&amp;"")&amp;"="&amp;(SUMIFS('Исходные данные'!$I$2:$I$953,'Исходные данные'!$D$2:$D$953,T$3,'Исходные данные'!$F$2:$F$953,$H17&amp;"")+SUMIFS('Исходные данные'!$J$2:$J$953,'Исходные данные'!$D$2:$D$953,T$3,'Исходные данные'!$F$2:$F$953,$H17&amp;"")))))</f>
        <v/>
      </c>
      <c r="U17" s="37">
        <f>IF(SUMIFS('Исходные данные'!$I$2:$I$953,'Исходные данные'!$D$2:$D$953,U$3,'Исходные данные'!$F$2:$F$953,$H17&amp;"")+SUMIFS('Исходные данные'!$J$2:$J$953,'Исходные данные'!$D$2:$D$953,U$3,'Исходные данные'!$F$2:$F$953,$H17&amp;"")=0,"",IF(SUMIFS('Исходные данные'!$J$2:$J$953,'Исходные данные'!$D$2:$D$953,U$3,'Исходные данные'!$F$2:$F$953,$H17&amp;"")=0,SUMIFS('Исходные данные'!$I$2:$I$953,'Исходные данные'!$D$2:$D$953,U$3,'Исходные данные'!$F$2:$F$953,$H17&amp;""),IF(SUMIFS('Исходные данные'!$I$2:$I$953,'Исходные данные'!$D$2:$D$953,U$3,'Исходные данные'!$F$2:$F$953,$H17&amp;"")=0,"0+"&amp;SUMIFS('Исходные данные'!$J$2:$J$953,'Исходные данные'!$D$2:$D$953,U$3,'Исходные данные'!$F$2:$F$953,$H17&amp;"")&amp;"="&amp;SUMIFS('Исходные данные'!$J$2:$J$953,'Исходные данные'!$D$2:$D$953,U$3,'Исходные данные'!$F$2:$F$953,$H17&amp;""),SUMIFS('Исходные данные'!$I$2:$I$953,'Исходные данные'!$D$2:$D$953,U$3,'Исходные данные'!$F$2:$F$953,$H17&amp;"")&amp;"+"&amp;SUMIFS('Исходные данные'!$J$2:$J$953,'Исходные данные'!$D$2:$D$953,U$3,'Исходные данные'!$F$2:$F$953,$H17&amp;"")&amp;"="&amp;(SUMIFS('Исходные данные'!$I$2:$I$953,'Исходные данные'!$D$2:$D$953,U$3,'Исходные данные'!$F$2:$F$953,$H17&amp;"")+SUMIFS('Исходные данные'!$J$2:$J$953,'Исходные данные'!$D$2:$D$953,U$3,'Исходные данные'!$F$2:$F$953,$H17&amp;"")))))</f>
        <v/>
      </c>
      <c r="V17" s="36">
        <f>IF(SUMIFS('Исходные данные'!$I$2:$I$953,'Исходные данные'!$D$2:$D$953,V$3,'Исходные данные'!$F$2:$F$953,$H17&amp;"")+SUMIFS('Исходные данные'!$J$2:$J$953,'Исходные данные'!$D$2:$D$953,V$3,'Исходные данные'!$F$2:$F$953,$H17&amp;"")=0,"",IF(SUMIFS('Исходные данные'!$J$2:$J$953,'Исходные данные'!$D$2:$D$953,V$3,'Исходные данные'!$F$2:$F$953,$H17&amp;"")=0,SUMIFS('Исходные данные'!$I$2:$I$953,'Исходные данные'!$D$2:$D$953,V$3,'Исходные данные'!$F$2:$F$953,$H17&amp;""),IF(SUMIFS('Исходные данные'!$I$2:$I$953,'Исходные данные'!$D$2:$D$953,V$3,'Исходные данные'!$F$2:$F$953,$H17&amp;"")=0,"0+"&amp;SUMIFS('Исходные данные'!$J$2:$J$953,'Исходные данные'!$D$2:$D$953,V$3,'Исходные данные'!$F$2:$F$953,$H17&amp;"")&amp;"="&amp;SUMIFS('Исходные данные'!$J$2:$J$953,'Исходные данные'!$D$2:$D$953,V$3,'Исходные данные'!$F$2:$F$953,$H17&amp;""),SUMIFS('Исходные данные'!$I$2:$I$953,'Исходные данные'!$D$2:$D$953,V$3,'Исходные данные'!$F$2:$F$953,$H17&amp;"")&amp;"+"&amp;SUMIFS('Исходные данные'!$J$2:$J$953,'Исходные данные'!$D$2:$D$953,V$3,'Исходные данные'!$F$2:$F$953,$H17&amp;"")&amp;"="&amp;(SUMIFS('Исходные данные'!$I$2:$I$953,'Исходные данные'!$D$2:$D$953,V$3,'Исходные данные'!$F$2:$F$953,$H17&amp;"")+SUMIFS('Исходные данные'!$J$2:$J$953,'Исходные данные'!$D$2:$D$953,V$3,'Исходные данные'!$F$2:$F$953,$H17&amp;"")))))</f>
        <v/>
      </c>
      <c r="W17" s="37">
        <f>IF(SUMIFS('Исходные данные'!$I$2:$I$953,'Исходные данные'!$D$2:$D$953,W$3,'Исходные данные'!$F$2:$F$953,$H17&amp;"")+SUMIFS('Исходные данные'!$J$2:$J$953,'Исходные данные'!$D$2:$D$953,W$3,'Исходные данные'!$F$2:$F$953,$H17&amp;"")=0,"",IF(SUMIFS('Исходные данные'!$J$2:$J$953,'Исходные данные'!$D$2:$D$953,W$3,'Исходные данные'!$F$2:$F$953,$H17&amp;"")=0,SUMIFS('Исходные данные'!$I$2:$I$953,'Исходные данные'!$D$2:$D$953,W$3,'Исходные данные'!$F$2:$F$953,$H17&amp;""),IF(SUMIFS('Исходные данные'!$I$2:$I$953,'Исходные данные'!$D$2:$D$953,W$3,'Исходные данные'!$F$2:$F$953,$H17&amp;"")=0,"0+"&amp;SUMIFS('Исходные данные'!$J$2:$J$953,'Исходные данные'!$D$2:$D$953,W$3,'Исходные данные'!$F$2:$F$953,$H17&amp;"")&amp;"="&amp;SUMIFS('Исходные данные'!$J$2:$J$953,'Исходные данные'!$D$2:$D$953,W$3,'Исходные данные'!$F$2:$F$953,$H17&amp;""),SUMIFS('Исходные данные'!$I$2:$I$953,'Исходные данные'!$D$2:$D$953,W$3,'Исходные данные'!$F$2:$F$953,$H17&amp;"")&amp;"+"&amp;SUMIFS('Исходные данные'!$J$2:$J$953,'Исходные данные'!$D$2:$D$953,W$3,'Исходные данные'!$F$2:$F$953,$H17&amp;"")&amp;"="&amp;(SUMIFS('Исходные данные'!$I$2:$I$953,'Исходные данные'!$D$2:$D$953,W$3,'Исходные данные'!$F$2:$F$953,$H17&amp;"")+SUMIFS('Исходные данные'!$J$2:$J$953,'Исходные данные'!$D$2:$D$953,W$3,'Исходные данные'!$F$2:$F$953,$H17&amp;"")))))</f>
        <v/>
      </c>
      <c r="X17" s="37">
        <f>IF(SUMIFS('Исходные данные'!$I$2:$I$953,'Исходные данные'!$D$2:$D$953,X$3,'Исходные данные'!$F$2:$F$953,$H17&amp;"")+SUMIFS('Исходные данные'!$J$2:$J$953,'Исходные данные'!$D$2:$D$953,X$3,'Исходные данные'!$F$2:$F$953,$H17&amp;"")=0,"",IF(SUMIFS('Исходные данные'!$J$2:$J$953,'Исходные данные'!$D$2:$D$953,X$3,'Исходные данные'!$F$2:$F$953,$H17&amp;"")=0,SUMIFS('Исходные данные'!$I$2:$I$953,'Исходные данные'!$D$2:$D$953,X$3,'Исходные данные'!$F$2:$F$953,$H17&amp;""),IF(SUMIFS('Исходные данные'!$I$2:$I$953,'Исходные данные'!$D$2:$D$953,X$3,'Исходные данные'!$F$2:$F$953,$H17&amp;"")=0,"0+"&amp;SUMIFS('Исходные данные'!$J$2:$J$953,'Исходные данные'!$D$2:$D$953,X$3,'Исходные данные'!$F$2:$F$953,$H17&amp;"")&amp;"="&amp;SUMIFS('Исходные данные'!$J$2:$J$953,'Исходные данные'!$D$2:$D$953,X$3,'Исходные данные'!$F$2:$F$953,$H17&amp;""),SUMIFS('Исходные данные'!$I$2:$I$953,'Исходные данные'!$D$2:$D$953,X$3,'Исходные данные'!$F$2:$F$953,$H17&amp;"")&amp;"+"&amp;SUMIFS('Исходные данные'!$J$2:$J$953,'Исходные данные'!$D$2:$D$953,X$3,'Исходные данные'!$F$2:$F$953,$H17&amp;"")&amp;"="&amp;(SUMIFS('Исходные данные'!$I$2:$I$953,'Исходные данные'!$D$2:$D$953,X$3,'Исходные данные'!$F$2:$F$953,$H17&amp;"")+SUMIFS('Исходные данные'!$J$2:$J$953,'Исходные данные'!$D$2:$D$953,X$3,'Исходные данные'!$F$2:$F$953,$H17&amp;"")))))</f>
        <v/>
      </c>
      <c r="Y17" s="39">
        <f>IF(SUMIFS('Исходные данные'!$I$2:$I$953,'Исходные данные'!$D$2:$D$953,Y$3,'Исходные данные'!$F$2:$F$953,$H17&amp;"")+SUMIFS('Исходные данные'!$J$2:$J$953,'Исходные данные'!$D$2:$D$953,Y$3,'Исходные данные'!$F$2:$F$953,$H17&amp;"")=0,"",IF(SUMIFS('Исходные данные'!$J$2:$J$953,'Исходные данные'!$D$2:$D$953,Y$3,'Исходные данные'!$F$2:$F$953,$H17&amp;"")=0,SUMIFS('Исходные данные'!$I$2:$I$953,'Исходные данные'!$D$2:$D$953,Y$3,'Исходные данные'!$F$2:$F$953,$H17&amp;""),IF(SUMIFS('Исходные данные'!$I$2:$I$953,'Исходные данные'!$D$2:$D$953,Y$3,'Исходные данные'!$F$2:$F$953,$H17&amp;"")=0,"0+"&amp;SUMIFS('Исходные данные'!$J$2:$J$953,'Исходные данные'!$D$2:$D$953,Y$3,'Исходные данные'!$F$2:$F$953,$H17&amp;"")&amp;"="&amp;SUMIFS('Исходные данные'!$J$2:$J$953,'Исходные данные'!$D$2:$D$953,Y$3,'Исходные данные'!$F$2:$F$953,$H17&amp;""),SUMIFS('Исходные данные'!$I$2:$I$953,'Исходные данные'!$D$2:$D$953,Y$3,'Исходные данные'!$F$2:$F$953,$H17&amp;"")&amp;"+"&amp;SUMIFS('Исходные данные'!$J$2:$J$953,'Исходные данные'!$D$2:$D$953,Y$3,'Исходные данные'!$F$2:$F$953,$H17&amp;"")&amp;"="&amp;(SUMIFS('Исходные данные'!$I$2:$I$953,'Исходные данные'!$D$2:$D$953,Y$3,'Исходные данные'!$F$2:$F$953,$H17&amp;"")+SUMIFS('Исходные данные'!$J$2:$J$953,'Исходные данные'!$D$2:$D$953,Y$3,'Исходные данные'!$F$2:$F$953,$H17&amp;"")))))</f>
        <v/>
      </c>
      <c r="Z17" s="36">
        <f>IF(SUMIFS('Исходные данные'!$I$2:$I$953,'Исходные данные'!$D$2:$D$953,Z$3,'Исходные данные'!$F$2:$F$953,$H17&amp;"")+SUMIFS('Исходные данные'!$J$2:$J$953,'Исходные данные'!$D$2:$D$953,Z$3,'Исходные данные'!$F$2:$F$953,$H17&amp;"")=0,"",IF(SUMIFS('Исходные данные'!$J$2:$J$953,'Исходные данные'!$D$2:$D$953,Z$3,'Исходные данные'!$F$2:$F$953,$H17&amp;"")=0,SUMIFS('Исходные данные'!$I$2:$I$953,'Исходные данные'!$D$2:$D$953,Z$3,'Исходные данные'!$F$2:$F$953,$H17&amp;""),IF(SUMIFS('Исходные данные'!$I$2:$I$953,'Исходные данные'!$D$2:$D$953,Z$3,'Исходные данные'!$F$2:$F$953,$H17&amp;"")=0,"0+"&amp;SUMIFS('Исходные данные'!$J$2:$J$953,'Исходные данные'!$D$2:$D$953,Z$3,'Исходные данные'!$F$2:$F$953,$H17&amp;"")&amp;"="&amp;SUMIFS('Исходные данные'!$J$2:$J$953,'Исходные данные'!$D$2:$D$953,Z$3,'Исходные данные'!$F$2:$F$953,$H17&amp;""),SUMIFS('Исходные данные'!$I$2:$I$953,'Исходные данные'!$D$2:$D$953,Z$3,'Исходные данные'!$F$2:$F$953,$H17&amp;"")&amp;"+"&amp;SUMIFS('Исходные данные'!$J$2:$J$953,'Исходные данные'!$D$2:$D$953,Z$3,'Исходные данные'!$F$2:$F$953,$H17&amp;"")&amp;"="&amp;(SUMIFS('Исходные данные'!$I$2:$I$953,'Исходные данные'!$D$2:$D$953,Z$3,'Исходные данные'!$F$2:$F$953,$H17&amp;"")+SUMIFS('Исходные данные'!$J$2:$J$953,'Исходные данные'!$D$2:$D$953,Z$3,'Исходные данные'!$F$2:$F$953,$H17&amp;"")))))</f>
        <v/>
      </c>
      <c r="AA17" s="37">
        <f>IF(SUMIFS('Исходные данные'!$I$2:$I$953,'Исходные данные'!$D$2:$D$953,AA$3,'Исходные данные'!$F$2:$F$953,$H17&amp;"")+SUMIFS('Исходные данные'!$J$2:$J$953,'Исходные данные'!$D$2:$D$953,AA$3,'Исходные данные'!$F$2:$F$953,$H17&amp;"")=0,"",IF(SUMIFS('Исходные данные'!$J$2:$J$953,'Исходные данные'!$D$2:$D$953,AA$3,'Исходные данные'!$F$2:$F$953,$H17&amp;"")=0,SUMIFS('Исходные данные'!$I$2:$I$953,'Исходные данные'!$D$2:$D$953,AA$3,'Исходные данные'!$F$2:$F$953,$H17&amp;""),IF(SUMIFS('Исходные данные'!$I$2:$I$953,'Исходные данные'!$D$2:$D$953,AA$3,'Исходные данные'!$F$2:$F$953,$H17&amp;"")=0,"0+"&amp;SUMIFS('Исходные данные'!$J$2:$J$953,'Исходные данные'!$D$2:$D$953,AA$3,'Исходные данные'!$F$2:$F$953,$H17&amp;"")&amp;"="&amp;SUMIFS('Исходные данные'!$J$2:$J$953,'Исходные данные'!$D$2:$D$953,AA$3,'Исходные данные'!$F$2:$F$953,$H17&amp;""),SUMIFS('Исходные данные'!$I$2:$I$953,'Исходные данные'!$D$2:$D$953,AA$3,'Исходные данные'!$F$2:$F$953,$H17&amp;"")&amp;"+"&amp;SUMIFS('Исходные данные'!$J$2:$J$953,'Исходные данные'!$D$2:$D$953,AA$3,'Исходные данные'!$F$2:$F$953,$H17&amp;"")&amp;"="&amp;(SUMIFS('Исходные данные'!$I$2:$I$953,'Исходные данные'!$D$2:$D$953,AA$3,'Исходные данные'!$F$2:$F$953,$H17&amp;"")+SUMIFS('Исходные данные'!$J$2:$J$953,'Исходные данные'!$D$2:$D$953,AA$3,'Исходные данные'!$F$2:$F$953,$H17&amp;"")))))</f>
        <v/>
      </c>
      <c r="AB17" s="37" t="n"/>
      <c r="AC17" s="39">
        <f>IF(SUMIFS('Исходные данные'!$I$2:$I$953,'Исходные данные'!$D$2:$D$953,AC$3,'Исходные данные'!$F$2:$F$953,$H17&amp;"")+SUMIFS('Исходные данные'!$J$2:$J$953,'Исходные данные'!$D$2:$D$953,AC$3,'Исходные данные'!$F$2:$F$953,$H17&amp;"")=0,"",IF(SUMIFS('Исходные данные'!$J$2:$J$953,'Исходные данные'!$D$2:$D$953,AC$3,'Исходные данные'!$F$2:$F$953,$H17&amp;"")=0,SUMIFS('Исходные данные'!$I$2:$I$953,'Исходные данные'!$D$2:$D$953,AC$3,'Исходные данные'!$F$2:$F$953,$H17&amp;""),IF(SUMIFS('Исходные данные'!$I$2:$I$953,'Исходные данные'!$D$2:$D$953,AC$3,'Исходные данные'!$F$2:$F$953,$H17&amp;"")=0,"0+"&amp;SUMIFS('Исходные данные'!$J$2:$J$953,'Исходные данные'!$D$2:$D$953,AC$3,'Исходные данные'!$F$2:$F$953,$H17&amp;"")&amp;"="&amp;SUMIFS('Исходные данные'!$J$2:$J$953,'Исходные данные'!$D$2:$D$953,AC$3,'Исходные данные'!$F$2:$F$953,$H17&amp;""),SUMIFS('Исходные данные'!$I$2:$I$953,'Исходные данные'!$D$2:$D$953,AC$3,'Исходные данные'!$F$2:$F$953,$H17&amp;"")&amp;"+"&amp;SUMIFS('Исходные данные'!$J$2:$J$953,'Исходные данные'!$D$2:$D$953,AC$3,'Исходные данные'!$F$2:$F$953,$H17&amp;"")&amp;"="&amp;(SUMIFS('Исходные данные'!$I$2:$I$953,'Исходные данные'!$D$2:$D$953,AC$3,'Исходные данные'!$F$2:$F$953,$H17&amp;"")+SUMIFS('Исходные данные'!$J$2:$J$953,'Исходные данные'!$D$2:$D$953,AC$3,'Исходные данные'!$F$2:$F$953,$H17&amp;"")))))</f>
        <v/>
      </c>
      <c r="AD17" s="37">
        <f>IF(SUMIFS('Исходные данные'!$I$2:$I$953,'Исходные данные'!$D$2:$D$953,AD$3,'Исходные данные'!$F$2:$F$953,$H17&amp;"")+SUMIFS('Исходные данные'!$J$2:$J$953,'Исходные данные'!$D$2:$D$953,AD$3,'Исходные данные'!$F$2:$F$953,$H17&amp;"")=0,"",IF(SUMIFS('Исходные данные'!$J$2:$J$953,'Исходные данные'!$D$2:$D$953,AD$3,'Исходные данные'!$F$2:$F$953,$H17&amp;"")=0,SUMIFS('Исходные данные'!$I$2:$I$953,'Исходные данные'!$D$2:$D$953,AD$3,'Исходные данные'!$F$2:$F$953,$H17&amp;""),IF(SUMIFS('Исходные данные'!$I$2:$I$953,'Исходные данные'!$D$2:$D$953,AD$3,'Исходные данные'!$F$2:$F$953,$H17&amp;"")=0,"0+"&amp;SUMIFS('Исходные данные'!$J$2:$J$953,'Исходные данные'!$D$2:$D$953,AD$3,'Исходные данные'!$F$2:$F$953,$H17&amp;"")&amp;"="&amp;SUMIFS('Исходные данные'!$J$2:$J$953,'Исходные данные'!$D$2:$D$953,AD$3,'Исходные данные'!$F$2:$F$953,$H17&amp;""),SUMIFS('Исходные данные'!$I$2:$I$953,'Исходные данные'!$D$2:$D$953,AD$3,'Исходные данные'!$F$2:$F$953,$H17&amp;"")&amp;"+"&amp;SUMIFS('Исходные данные'!$J$2:$J$953,'Исходные данные'!$D$2:$D$953,AD$3,'Исходные данные'!$F$2:$F$953,$H17&amp;"")&amp;"="&amp;(SUMIFS('Исходные данные'!$I$2:$I$953,'Исходные данные'!$D$2:$D$953,AD$3,'Исходные данные'!$F$2:$F$953,$H17&amp;"")+SUMIFS('Исходные данные'!$J$2:$J$953,'Исходные данные'!$D$2:$D$953,AD$3,'Исходные данные'!$F$2:$F$953,$H17&amp;"")))))</f>
        <v/>
      </c>
    </row>
    <row r="18" ht="25.5" customHeight="1">
      <c r="A18" s="40" t="n">
        <v>16</v>
      </c>
      <c r="B18" s="95" t="n"/>
      <c r="C18" s="117" t="n"/>
      <c r="D18" s="118" t="n"/>
      <c r="E18" s="117" t="n"/>
      <c r="F18" s="117" t="n"/>
      <c r="G18" s="102" t="n"/>
      <c r="H18" s="56" t="n"/>
      <c r="I18" s="41" t="n"/>
      <c r="J18" s="73" t="n"/>
      <c r="K18" s="67" t="n"/>
      <c r="L18" s="85" t="n"/>
      <c r="M18" s="79" t="n"/>
      <c r="N18" s="79" t="n"/>
      <c r="O18" s="42">
        <f>IF(SUMIFS('Исходные данные'!$I$2:$I$953,'Исходные данные'!$D$2:$D$953,O$3,'Исходные данные'!$F$2:$F$953,$H19&amp;"",'Исходные данные'!$L$2:$L$953,"УТТ")+SUMIFS('Исходные данные'!$J$2:$J$953,'Исходные данные'!$D$2:$D$953,O$3,'Исходные данные'!$F$2:$F$953,$H19&amp;"",'Исходные данные'!$L$2:$L$953,"УТТ")=0,"","утт-"&amp;(SUMIFS('Исходные данные'!$I$2:$I$953,'Исходные данные'!$D$2:$D$953,O$3,'Исходные данные'!$F$2:$F$953,$H19&amp;"",'Исходные данные'!$L$2:$L$953,"УТТ")+SUMIFS('Исходные данные'!$J$2:$J$953,'Исходные данные'!$D$2:$D$953,O$3,'Исходные данные'!$F$2:$F$953,$H19&amp;"",'Исходные данные'!$L$2:$L$953,"УТТ")))</f>
        <v/>
      </c>
      <c r="P18" s="43">
        <f>IF(SUMIFS('Исходные данные'!$I$2:$I$953,'Исходные данные'!$D$2:$D$953,P$3,'Исходные данные'!$F$2:$F$953,$H19&amp;"",'Исходные данные'!$L$2:$L$953,"УТТ")+SUMIFS('Исходные данные'!$J$2:$J$953,'Исходные данные'!$D$2:$D$953,P$3,'Исходные данные'!$F$2:$F$953,$H19&amp;"",'Исходные данные'!$L$2:$L$953,"УТТ")=0,"","утт-"&amp;(SUMIFS('Исходные данные'!$I$2:$I$953,'Исходные данные'!$D$2:$D$953,P$3,'Исходные данные'!$F$2:$F$953,$H19&amp;"",'Исходные данные'!$L$2:$L$953,"УТТ")+SUMIFS('Исходные данные'!$J$2:$J$953,'Исходные данные'!$D$2:$D$953,P$3,'Исходные данные'!$F$2:$F$953,$H19&amp;"",'Исходные данные'!$L$2:$L$953,"УТТ")))</f>
        <v/>
      </c>
      <c r="Q18" s="42">
        <f>IF(SUMIFS('Исходные данные'!$I$2:$I$953,'Исходные данные'!$D$2:$D$953,Q$3,'Исходные данные'!$F$2:$F$953,$H19&amp;"",'Исходные данные'!$L$2:$L$953,"УТТ")+SUMIFS('Исходные данные'!$J$2:$J$953,'Исходные данные'!$D$2:$D$953,Q$3,'Исходные данные'!$F$2:$F$953,$H19&amp;"",'Исходные данные'!$L$2:$L$953,"УТТ")=0,"","утт-"&amp;(SUMIFS('Исходные данные'!$I$2:$I$953,'Исходные данные'!$D$2:$D$953,Q$3,'Исходные данные'!$F$2:$F$953,$H19&amp;"",'Исходные данные'!$L$2:$L$953,"УТТ")+SUMIFS('Исходные данные'!$J$2:$J$953,'Исходные данные'!$D$2:$D$953,Q$3,'Исходные данные'!$F$2:$F$953,$H19&amp;"",'Исходные данные'!$L$2:$L$953,"УТТ")))</f>
        <v/>
      </c>
      <c r="R18" s="44">
        <f>IF(SUMIFS('Исходные данные'!$I$2:$I$953,'Исходные данные'!$D$2:$D$953,R$3,'Исходные данные'!$F$2:$F$953,$H19&amp;"",'Исходные данные'!$L$2:$L$953,"УТТ")+SUMIFS('Исходные данные'!$J$2:$J$953,'Исходные данные'!$D$2:$D$953,R$3,'Исходные данные'!$F$2:$F$953,$H19&amp;"",'Исходные данные'!$L$2:$L$953,"УТТ")=0,"","утт-"&amp;(SUMIFS('Исходные данные'!$I$2:$I$953,'Исходные данные'!$D$2:$D$953,R$3,'Исходные данные'!$F$2:$F$953,$H19&amp;"",'Исходные данные'!$L$2:$L$953,"УТТ")+SUMIFS('Исходные данные'!$J$2:$J$953,'Исходные данные'!$D$2:$D$953,R$3,'Исходные данные'!$F$2:$F$953,$H19&amp;"",'Исходные данные'!$L$2:$L$953,"УТТ")))</f>
        <v/>
      </c>
      <c r="S18" s="43">
        <f>IF(SUMIFS('Исходные данные'!$I$2:$I$953,'Исходные данные'!$D$2:$D$953,S$3,'Исходные данные'!$F$2:$F$953,$H19&amp;"",'Исходные данные'!$L$2:$L$953,"УТТ")+SUMIFS('Исходные данные'!$J$2:$J$953,'Исходные данные'!$D$2:$D$953,S$3,'Исходные данные'!$F$2:$F$953,$H19&amp;"",'Исходные данные'!$L$2:$L$953,"УТТ")=0,"","утт-"&amp;(SUMIFS('Исходные данные'!$I$2:$I$953,'Исходные данные'!$D$2:$D$953,S$3,'Исходные данные'!$F$2:$F$953,$H19&amp;"",'Исходные данные'!$L$2:$L$953,"УТТ")+SUMIFS('Исходные данные'!$J$2:$J$953,'Исходные данные'!$D$2:$D$953,S$3,'Исходные данные'!$F$2:$F$953,$H19&amp;"",'Исходные данные'!$L$2:$L$953,"УТТ")))</f>
        <v/>
      </c>
      <c r="T18" s="42">
        <f>IF(SUMIFS('Исходные данные'!$I$2:$I$953,'Исходные данные'!$D$2:$D$953,T$3,'Исходные данные'!$F$2:$F$953,$H19&amp;"",'Исходные данные'!$L$2:$L$953,"УТТ")+SUMIFS('Исходные данные'!$J$2:$J$953,'Исходные данные'!$D$2:$D$953,T$3,'Исходные данные'!$F$2:$F$953,$H19&amp;"",'Исходные данные'!$L$2:$L$953,"УТТ")=0,"","утт-"&amp;(SUMIFS('Исходные данные'!$I$2:$I$953,'Исходные данные'!$D$2:$D$953,T$3,'Исходные данные'!$F$2:$F$953,$H19&amp;"",'Исходные данные'!$L$2:$L$953,"УТТ")+SUMIFS('Исходные данные'!$J$2:$J$953,'Исходные данные'!$D$2:$D$953,T$3,'Исходные данные'!$F$2:$F$953,$H19&amp;"",'Исходные данные'!$L$2:$L$953,"УТТ")))</f>
        <v/>
      </c>
      <c r="U18" s="43">
        <f>IF(SUMIFS('Исходные данные'!$I$2:$I$953,'Исходные данные'!$D$2:$D$953,U$3,'Исходные данные'!$F$2:$F$953,$H19&amp;"",'Исходные данные'!$L$2:$L$953,"УТТ")+SUMIFS('Исходные данные'!$J$2:$J$953,'Исходные данные'!$D$2:$D$953,U$3,'Исходные данные'!$F$2:$F$953,$H19&amp;"",'Исходные данные'!$L$2:$L$953,"УТТ")=0,"","утт-"&amp;(SUMIFS('Исходные данные'!$I$2:$I$953,'Исходные данные'!$D$2:$D$953,U$3,'Исходные данные'!$F$2:$F$953,$H19&amp;"",'Исходные данные'!$L$2:$L$953,"УТТ")+SUMIFS('Исходные данные'!$J$2:$J$953,'Исходные данные'!$D$2:$D$953,U$3,'Исходные данные'!$F$2:$F$953,$H19&amp;"",'Исходные данные'!$L$2:$L$953,"УТТ")))</f>
        <v/>
      </c>
      <c r="V18" s="42">
        <f>IF(SUMIFS('Исходные данные'!$I$2:$I$953,'Исходные данные'!$D$2:$D$953,V$3,'Исходные данные'!$F$2:$F$953,$H19&amp;"",'Исходные данные'!$L$2:$L$953,"УТТ")+SUMIFS('Исходные данные'!$J$2:$J$953,'Исходные данные'!$D$2:$D$953,V$3,'Исходные данные'!$F$2:$F$953,$H19&amp;"",'Исходные данные'!$L$2:$L$953,"УТТ")=0,"","утт-"&amp;(SUMIFS('Исходные данные'!$I$2:$I$953,'Исходные данные'!$D$2:$D$953,V$3,'Исходные данные'!$F$2:$F$953,$H19&amp;"",'Исходные данные'!$L$2:$L$953,"УТТ")+SUMIFS('Исходные данные'!$J$2:$J$953,'Исходные данные'!$D$2:$D$953,V$3,'Исходные данные'!$F$2:$F$953,$H19&amp;"",'Исходные данные'!$L$2:$L$953,"УТТ")))</f>
        <v/>
      </c>
      <c r="W18" s="43">
        <f>IF(SUMIFS('Исходные данные'!$I$2:$I$953,'Исходные данные'!$D$2:$D$953,W$3,'Исходные данные'!$F$2:$F$953,$H19&amp;"",'Исходные данные'!$L$2:$L$953,"УТТ")+SUMIFS('Исходные данные'!$J$2:$J$953,'Исходные данные'!$D$2:$D$953,W$3,'Исходные данные'!$F$2:$F$953,$H19&amp;"",'Исходные данные'!$L$2:$L$953,"УТТ")=0,"","утт-"&amp;(SUMIFS('Исходные данные'!$I$2:$I$953,'Исходные данные'!$D$2:$D$953,W$3,'Исходные данные'!$F$2:$F$953,$H19&amp;"",'Исходные данные'!$L$2:$L$953,"УТТ")+SUMIFS('Исходные данные'!$J$2:$J$953,'Исходные данные'!$D$2:$D$953,W$3,'Исходные данные'!$F$2:$F$953,$H19&amp;"",'Исходные данные'!$L$2:$L$953,"УТТ")))</f>
        <v/>
      </c>
      <c r="X18" s="43">
        <f>IF(SUMIFS('Исходные данные'!$I$2:$I$953,'Исходные данные'!$D$2:$D$953,X$3,'Исходные данные'!$F$2:$F$953,$H19&amp;"",'Исходные данные'!$L$2:$L$953,"УТТ")+SUMIFS('Исходные данные'!$J$2:$J$953,'Исходные данные'!$D$2:$D$953,X$3,'Исходные данные'!$F$2:$F$953,$H19&amp;"",'Исходные данные'!$L$2:$L$953,"УТТ")=0,"","утт-"&amp;(SUMIFS('Исходные данные'!$I$2:$I$953,'Исходные данные'!$D$2:$D$953,X$3,'Исходные данные'!$F$2:$F$953,$H19&amp;"",'Исходные данные'!$L$2:$L$953,"УТТ")+SUMIFS('Исходные данные'!$J$2:$J$953,'Исходные данные'!$D$2:$D$953,X$3,'Исходные данные'!$F$2:$F$953,$H19&amp;"",'Исходные данные'!$L$2:$L$953,"УТТ")))</f>
        <v/>
      </c>
      <c r="Y18" s="45">
        <f>IF(SUMIFS('Исходные данные'!$I$2:$I$953,'Исходные данные'!$D$2:$D$953,Y$3,'Исходные данные'!$F$2:$F$953,$H19&amp;"",'Исходные данные'!$L$2:$L$953,"УТТ")+SUMIFS('Исходные данные'!$J$2:$J$953,'Исходные данные'!$D$2:$D$953,Y$3,'Исходные данные'!$F$2:$F$953,$H19&amp;"",'Исходные данные'!$L$2:$L$953,"УТТ")=0,"","утт-"&amp;(SUMIFS('Исходные данные'!$I$2:$I$953,'Исходные данные'!$D$2:$D$953,Y$3,'Исходные данные'!$F$2:$F$953,$H19&amp;"",'Исходные данные'!$L$2:$L$953,"УТТ")+SUMIFS('Исходные данные'!$J$2:$J$953,'Исходные данные'!$D$2:$D$953,Y$3,'Исходные данные'!$F$2:$F$953,$H19&amp;"",'Исходные данные'!$L$2:$L$953,"УТТ")))</f>
        <v/>
      </c>
      <c r="Z18" s="42">
        <f>IF(SUMIFS('Исходные данные'!$I$2:$I$953,'Исходные данные'!$D$2:$D$953,Z$3,'Исходные данные'!$F$2:$F$953,$H19&amp;"",'Исходные данные'!$L$2:$L$953,"УТТ")+SUMIFS('Исходные данные'!$J$2:$J$953,'Исходные данные'!$D$2:$D$953,Z$3,'Исходные данные'!$F$2:$F$953,$H19&amp;"",'Исходные данные'!$L$2:$L$953,"УТТ")=0,"","утт-"&amp;(SUMIFS('Исходные данные'!$I$2:$I$953,'Исходные данные'!$D$2:$D$953,Z$3,'Исходные данные'!$F$2:$F$953,$H19&amp;"",'Исходные данные'!$L$2:$L$953,"УТТ")+SUMIFS('Исходные данные'!$J$2:$J$953,'Исходные данные'!$D$2:$D$953,Z$3,'Исходные данные'!$F$2:$F$953,$H19&amp;"",'Исходные данные'!$L$2:$L$953,"УТТ")))</f>
        <v/>
      </c>
      <c r="AA18" s="43">
        <f>IF(SUMIFS('Исходные данные'!$I$2:$I$953,'Исходные данные'!$D$2:$D$953,AA$3,'Исходные данные'!$F$2:$F$953,$H19&amp;"",'Исходные данные'!$L$2:$L$953,"УТТ")+SUMIFS('Исходные данные'!$J$2:$J$953,'Исходные данные'!$D$2:$D$953,AA$3,'Исходные данные'!$F$2:$F$953,$H19&amp;"",'Исходные данные'!$L$2:$L$953,"УТТ")=0,"","утт-"&amp;(SUMIFS('Исходные данные'!$I$2:$I$953,'Исходные данные'!$D$2:$D$953,AA$3,'Исходные данные'!$F$2:$F$953,$H19&amp;"",'Исходные данные'!$L$2:$L$953,"УТТ")+SUMIFS('Исходные данные'!$J$2:$J$953,'Исходные данные'!$D$2:$D$953,AA$3,'Исходные данные'!$F$2:$F$953,$H19&amp;"",'Исходные данные'!$L$2:$L$953,"УТТ")))</f>
        <v/>
      </c>
      <c r="AB18" s="43" t="n"/>
      <c r="AC18" s="42">
        <f>IF(SUMIFS('Исходные данные'!$I$2:$I$953,'Исходные данные'!$D$2:$D$953,AC$3,'Исходные данные'!$F$2:$F$953,$H19&amp;"",'Исходные данные'!$L$2:$L$953,"УТТ")+SUMIFS('Исходные данные'!$J$2:$J$953,'Исходные данные'!$D$2:$D$953,AC$3,'Исходные данные'!$F$2:$F$953,$H19&amp;"",'Исходные данные'!$L$2:$L$953,"УТТ")=0,"","утт-"&amp;(SUMIFS('Исходные данные'!$I$2:$I$953,'Исходные данные'!$D$2:$D$953,AC$3,'Исходные данные'!$F$2:$F$953,$H19&amp;"",'Исходные данные'!$L$2:$L$953,"УТТ")+SUMIFS('Исходные данные'!$J$2:$J$953,'Исходные данные'!$D$2:$D$953,AC$3,'Исходные данные'!$F$2:$F$953,$H19&amp;"",'Исходные данные'!$L$2:$L$953,"УТТ")))</f>
        <v/>
      </c>
      <c r="AD18" s="43">
        <f>IF(SUMIFS('Исходные данные'!$I$2:$I$953,'Исходные данные'!$D$2:$D$953,AD$3,'Исходные данные'!$F$2:$F$953,$H19&amp;"",'Исходные данные'!$L$2:$L$953,"УТТ")+SUMIFS('Исходные данные'!$J$2:$J$953,'Исходные данные'!$D$2:$D$953,AD$3,'Исходные данные'!$F$2:$F$953,$H19&amp;"",'Исходные данные'!$L$2:$L$953,"УТТ")=0,"","утт-"&amp;(SUMIFS('Исходные данные'!$I$2:$I$953,'Исходные данные'!$D$2:$D$953,AD$3,'Исходные данные'!$F$2:$F$953,$H19&amp;"",'Исходные данные'!$L$2:$L$953,"УТТ")+SUMIFS('Исходные данные'!$J$2:$J$953,'Исходные данные'!$D$2:$D$953,AD$3,'Исходные данные'!$F$2:$F$953,$H19&amp;"",'Исходные данные'!$L$2:$L$953,"УТТ")))</f>
        <v/>
      </c>
    </row>
    <row r="19" ht="25.5" customHeight="1">
      <c r="A19" s="26" t="n">
        <v>17</v>
      </c>
      <c r="B19" s="95" t="n"/>
      <c r="C19" s="117" t="n"/>
      <c r="D19" s="118" t="n"/>
      <c r="E19" s="117" t="n"/>
      <c r="F19" s="117" t="n"/>
      <c r="G19" s="102" t="n"/>
      <c r="H19" s="56" t="n">
        <v>35</v>
      </c>
      <c r="I19" s="35" t="inlineStr">
        <is>
          <t>АЦН</t>
        </is>
      </c>
      <c r="J19" s="72">
        <f>IFERROR(INDEX('Выход ТС'!$C:$C,MATCH($H19&amp;"",'Выход ТС'!$A:$A,0)),"")</f>
        <v/>
      </c>
      <c r="K19" s="66">
        <f>IFERROR(INDEX('Выход ТС'!$D:$D,MATCH($H19&amp;"",'Выход ТС'!$A:$A,0)),"")</f>
        <v/>
      </c>
      <c r="L19" s="84">
        <f>IFERROR(INDEX('Выход ТС'!$E:$E,MATCH($H19&amp;"",'Выход ТС'!$A:$A,0)),"")</f>
        <v/>
      </c>
      <c r="M19" s="78">
        <f>IFERROR(IF(INDEX('Выход ТС'!$F:$F,MATCH($H19&amp;"",'Выход ТС'!$A:$A,0))=0,"",INDEX('Выход ТС'!$F:$F,MATCH($H19&amp;"",'Выход ТС'!$A:$A,0))),"")</f>
        <v/>
      </c>
      <c r="N19" s="78">
        <f>IFERROR(IF(INDEX('Выход ТС'!$G:$G,MATCH($H19&amp;"",'Выход ТС'!$A:$A,0))=0,"",INDEX('Выход ТС'!$G:$G,MATCH($H19&amp;"",'Выход ТС'!$A:$A,0))),"")</f>
        <v/>
      </c>
      <c r="O19" s="39">
        <f>IF(SUMIFS('Исходные данные'!$I$2:$I$953,'Исходные данные'!$D$2:$D$953,O$3,'Исходные данные'!$F$2:$F$953,$H19&amp;"")+SUMIFS('Исходные данные'!$J$2:$J$953,'Исходные данные'!$D$2:$D$953,O$3,'Исходные данные'!$F$2:$F$953,$H19&amp;"")=0,"",IF(SUMIFS('Исходные данные'!$J$2:$J$953,'Исходные данные'!$D$2:$D$953,O$3,'Исходные данные'!$F$2:$F$953,$H19&amp;"")=0,SUMIFS('Исходные данные'!$I$2:$I$953,'Исходные данные'!$D$2:$D$953,O$3,'Исходные данные'!$F$2:$F$953,$H19&amp;""),IF(SUMIFS('Исходные данные'!$I$2:$I$953,'Исходные данные'!$D$2:$D$953,O$3,'Исходные данные'!$F$2:$F$953,$H19&amp;"")=0,"0+"&amp;SUMIFS('Исходные данные'!$J$2:$J$953,'Исходные данные'!$D$2:$D$953,O$3,'Исходные данные'!$F$2:$F$953,$H19&amp;"")&amp;"="&amp;SUMIFS('Исходные данные'!$J$2:$J$953,'Исходные данные'!$D$2:$D$953,O$3,'Исходные данные'!$F$2:$F$953,$H19&amp;""),SUMIFS('Исходные данные'!$I$2:$I$953,'Исходные данные'!$D$2:$D$953,O$3,'Исходные данные'!$F$2:$F$953,$H19&amp;"")&amp;"+"&amp;SUMIFS('Исходные данные'!$J$2:$J$953,'Исходные данные'!$D$2:$D$953,O$3,'Исходные данные'!$F$2:$F$953,$H19&amp;"")&amp;"="&amp;(SUMIFS('Исходные данные'!$I$2:$I$953,'Исходные данные'!$D$2:$D$953,O$3,'Исходные данные'!$F$2:$F$953,$H19&amp;"")+SUMIFS('Исходные данные'!$J$2:$J$953,'Исходные данные'!$D$2:$D$953,O$3,'Исходные данные'!$F$2:$F$953,$H19&amp;"")))))</f>
        <v/>
      </c>
      <c r="P19" s="37">
        <f>IF(SUMIFS('Исходные данные'!$I$2:$I$953,'Исходные данные'!$D$2:$D$953,P$3,'Исходные данные'!$F$2:$F$953,$H19&amp;"")+SUMIFS('Исходные данные'!$J$2:$J$953,'Исходные данные'!$D$2:$D$953,P$3,'Исходные данные'!$F$2:$F$953,$H19&amp;"")=0,"",IF(SUMIFS('Исходные данные'!$J$2:$J$953,'Исходные данные'!$D$2:$D$953,P$3,'Исходные данные'!$F$2:$F$953,$H19&amp;"")=0,SUMIFS('Исходные данные'!$I$2:$I$953,'Исходные данные'!$D$2:$D$953,P$3,'Исходные данные'!$F$2:$F$953,$H19&amp;""),IF(SUMIFS('Исходные данные'!$I$2:$I$953,'Исходные данные'!$D$2:$D$953,P$3,'Исходные данные'!$F$2:$F$953,$H19&amp;"")=0,"0+"&amp;SUMIFS('Исходные данные'!$J$2:$J$953,'Исходные данные'!$D$2:$D$953,P$3,'Исходные данные'!$F$2:$F$953,$H19&amp;"")&amp;"="&amp;SUMIFS('Исходные данные'!$J$2:$J$953,'Исходные данные'!$D$2:$D$953,P$3,'Исходные данные'!$F$2:$F$953,$H19&amp;""),SUMIFS('Исходные данные'!$I$2:$I$953,'Исходные данные'!$D$2:$D$953,P$3,'Исходные данные'!$F$2:$F$953,$H19&amp;"")&amp;"+"&amp;SUMIFS('Исходные данные'!$J$2:$J$953,'Исходные данные'!$D$2:$D$953,P$3,'Исходные данные'!$F$2:$F$953,$H19&amp;"")&amp;"="&amp;(SUMIFS('Исходные данные'!$I$2:$I$953,'Исходные данные'!$D$2:$D$953,P$3,'Исходные данные'!$F$2:$F$953,$H19&amp;"")+SUMIFS('Исходные данные'!$J$2:$J$953,'Исходные данные'!$D$2:$D$953,P$3,'Исходные данные'!$F$2:$F$953,$H19&amp;"")))))</f>
        <v/>
      </c>
      <c r="Q19" s="37">
        <f>IF(SUMIFS('Исходные данные'!$I$2:$I$953,'Исходные данные'!$D$2:$D$953,Q$3,'Исходные данные'!$F$2:$F$953,$H19&amp;"")+SUMIFS('Исходные данные'!$J$2:$J$953,'Исходные данные'!$D$2:$D$953,Q$3,'Исходные данные'!$F$2:$F$953,$H19&amp;"")=0,"",IF(SUMIFS('Исходные данные'!$J$2:$J$953,'Исходные данные'!$D$2:$D$953,Q$3,'Исходные данные'!$F$2:$F$953,$H19&amp;"")=0,SUMIFS('Исходные данные'!$I$2:$I$953,'Исходные данные'!$D$2:$D$953,Q$3,'Исходные данные'!$F$2:$F$953,$H19&amp;""),IF(SUMIFS('Исходные данные'!$I$2:$I$953,'Исходные данные'!$D$2:$D$953,Q$3,'Исходные данные'!$F$2:$F$953,$H19&amp;"")=0,"0+"&amp;SUMIFS('Исходные данные'!$J$2:$J$953,'Исходные данные'!$D$2:$D$953,Q$3,'Исходные данные'!$F$2:$F$953,$H19&amp;"")&amp;"="&amp;SUMIFS('Исходные данные'!$J$2:$J$953,'Исходные данные'!$D$2:$D$953,Q$3,'Исходные данные'!$F$2:$F$953,$H19&amp;""),SUMIFS('Исходные данные'!$I$2:$I$953,'Исходные данные'!$D$2:$D$953,Q$3,'Исходные данные'!$F$2:$F$953,$H19&amp;"")&amp;"+"&amp;SUMIFS('Исходные данные'!$J$2:$J$953,'Исходные данные'!$D$2:$D$953,Q$3,'Исходные данные'!$F$2:$F$953,$H19&amp;"")&amp;"="&amp;(SUMIFS('Исходные данные'!$I$2:$I$953,'Исходные данные'!$D$2:$D$953,Q$3,'Исходные данные'!$F$2:$F$953,$H19&amp;"")+SUMIFS('Исходные данные'!$J$2:$J$953,'Исходные данные'!$D$2:$D$953,Q$3,'Исходные данные'!$F$2:$F$953,$H19&amp;"")))))</f>
        <v/>
      </c>
      <c r="R19" s="38">
        <f>IF(SUMIFS('Исходные данные'!$I$2:$I$953,'Исходные данные'!$D$2:$D$953,R$3,'Исходные данные'!$F$2:$F$953,$H19&amp;"")+SUMIFS('Исходные данные'!$J$2:$J$953,'Исходные данные'!$D$2:$D$953,R$3,'Исходные данные'!$F$2:$F$953,$H19&amp;"")=0,"",IF(SUMIFS('Исходные данные'!$J$2:$J$953,'Исходные данные'!$D$2:$D$953,R$3,'Исходные данные'!$F$2:$F$953,$H19&amp;"")=0,SUMIFS('Исходные данные'!$I$2:$I$953,'Исходные данные'!$D$2:$D$953,R$3,'Исходные данные'!$F$2:$F$953,$H19&amp;""),IF(SUMIFS('Исходные данные'!$I$2:$I$953,'Исходные данные'!$D$2:$D$953,R$3,'Исходные данные'!$F$2:$F$953,$H19&amp;"")=0,"0+"&amp;SUMIFS('Исходные данные'!$J$2:$J$953,'Исходные данные'!$D$2:$D$953,R$3,'Исходные данные'!$F$2:$F$953,$H19&amp;"")&amp;"="&amp;SUMIFS('Исходные данные'!$J$2:$J$953,'Исходные данные'!$D$2:$D$953,R$3,'Исходные данные'!$F$2:$F$953,$H19&amp;""),SUMIFS('Исходные данные'!$I$2:$I$953,'Исходные данные'!$D$2:$D$953,R$3,'Исходные данные'!$F$2:$F$953,$H19&amp;"")&amp;"+"&amp;SUMIFS('Исходные данные'!$J$2:$J$953,'Исходные данные'!$D$2:$D$953,R$3,'Исходные данные'!$F$2:$F$953,$H19&amp;"")&amp;"="&amp;(SUMIFS('Исходные данные'!$I$2:$I$953,'Исходные данные'!$D$2:$D$953,R$3,'Исходные данные'!$F$2:$F$953,$H19&amp;"")+SUMIFS('Исходные данные'!$J$2:$J$953,'Исходные данные'!$D$2:$D$953,R$3,'Исходные данные'!$F$2:$F$953,$H19&amp;"")))))</f>
        <v/>
      </c>
      <c r="S19" s="37">
        <f>IF(SUMIFS('Исходные данные'!$I$2:$I$953,'Исходные данные'!$D$2:$D$953,S$3,'Исходные данные'!$F$2:$F$953,$H19&amp;"")+SUMIFS('Исходные данные'!$J$2:$J$953,'Исходные данные'!$D$2:$D$953,S$3,'Исходные данные'!$F$2:$F$953,$H19&amp;"")=0,"",IF(SUMIFS('Исходные данные'!$J$2:$J$953,'Исходные данные'!$D$2:$D$953,S$3,'Исходные данные'!$F$2:$F$953,$H19&amp;"")=0,SUMIFS('Исходные данные'!$I$2:$I$953,'Исходные данные'!$D$2:$D$953,S$3,'Исходные данные'!$F$2:$F$953,$H19&amp;""),IF(SUMIFS('Исходные данные'!$I$2:$I$953,'Исходные данные'!$D$2:$D$953,S$3,'Исходные данные'!$F$2:$F$953,$H19&amp;"")=0,"0+"&amp;SUMIFS('Исходные данные'!$J$2:$J$953,'Исходные данные'!$D$2:$D$953,S$3,'Исходные данные'!$F$2:$F$953,$H19&amp;"")&amp;"="&amp;SUMIFS('Исходные данные'!$J$2:$J$953,'Исходные данные'!$D$2:$D$953,S$3,'Исходные данные'!$F$2:$F$953,$H19&amp;""),SUMIFS('Исходные данные'!$I$2:$I$953,'Исходные данные'!$D$2:$D$953,S$3,'Исходные данные'!$F$2:$F$953,$H19&amp;"")&amp;"+"&amp;SUMIFS('Исходные данные'!$J$2:$J$953,'Исходные данные'!$D$2:$D$953,S$3,'Исходные данные'!$F$2:$F$953,$H19&amp;"")&amp;"="&amp;(SUMIFS('Исходные данные'!$I$2:$I$953,'Исходные данные'!$D$2:$D$953,S$3,'Исходные данные'!$F$2:$F$953,$H19&amp;"")+SUMIFS('Исходные данные'!$J$2:$J$953,'Исходные данные'!$D$2:$D$953,S$3,'Исходные данные'!$F$2:$F$953,$H19&amp;"")))))</f>
        <v/>
      </c>
      <c r="T19" s="36">
        <f>IF(SUMIFS('Исходные данные'!$I$2:$I$953,'Исходные данные'!$D$2:$D$953,T$3,'Исходные данные'!$F$2:$F$953,$H19&amp;"")+SUMIFS('Исходные данные'!$J$2:$J$953,'Исходные данные'!$D$2:$D$953,T$3,'Исходные данные'!$F$2:$F$953,$H19&amp;"")=0,"",IF(SUMIFS('Исходные данные'!$J$2:$J$953,'Исходные данные'!$D$2:$D$953,T$3,'Исходные данные'!$F$2:$F$953,$H19&amp;"")=0,SUMIFS('Исходные данные'!$I$2:$I$953,'Исходные данные'!$D$2:$D$953,T$3,'Исходные данные'!$F$2:$F$953,$H19&amp;""),IF(SUMIFS('Исходные данные'!$I$2:$I$953,'Исходные данные'!$D$2:$D$953,T$3,'Исходные данные'!$F$2:$F$953,$H19&amp;"")=0,"0+"&amp;SUMIFS('Исходные данные'!$J$2:$J$953,'Исходные данные'!$D$2:$D$953,T$3,'Исходные данные'!$F$2:$F$953,$H19&amp;"")&amp;"="&amp;SUMIFS('Исходные данные'!$J$2:$J$953,'Исходные данные'!$D$2:$D$953,T$3,'Исходные данные'!$F$2:$F$953,$H19&amp;""),SUMIFS('Исходные данные'!$I$2:$I$953,'Исходные данные'!$D$2:$D$953,T$3,'Исходные данные'!$F$2:$F$953,$H19&amp;"")&amp;"+"&amp;SUMIFS('Исходные данные'!$J$2:$J$953,'Исходные данные'!$D$2:$D$953,T$3,'Исходные данные'!$F$2:$F$953,$H19&amp;"")&amp;"="&amp;(SUMIFS('Исходные данные'!$I$2:$I$953,'Исходные данные'!$D$2:$D$953,T$3,'Исходные данные'!$F$2:$F$953,$H19&amp;"")+SUMIFS('Исходные данные'!$J$2:$J$953,'Исходные данные'!$D$2:$D$953,T$3,'Исходные данные'!$F$2:$F$953,$H19&amp;"")))))</f>
        <v/>
      </c>
      <c r="U19" s="37">
        <f>IF(SUMIFS('Исходные данные'!$I$2:$I$953,'Исходные данные'!$D$2:$D$953,U$3,'Исходные данные'!$F$2:$F$953,$H19&amp;"")+SUMIFS('Исходные данные'!$J$2:$J$953,'Исходные данные'!$D$2:$D$953,U$3,'Исходные данные'!$F$2:$F$953,$H19&amp;"")=0,"",IF(SUMIFS('Исходные данные'!$J$2:$J$953,'Исходные данные'!$D$2:$D$953,U$3,'Исходные данные'!$F$2:$F$953,$H19&amp;"")=0,SUMIFS('Исходные данные'!$I$2:$I$953,'Исходные данные'!$D$2:$D$953,U$3,'Исходные данные'!$F$2:$F$953,$H19&amp;""),IF(SUMIFS('Исходные данные'!$I$2:$I$953,'Исходные данные'!$D$2:$D$953,U$3,'Исходные данные'!$F$2:$F$953,$H19&amp;"")=0,"0+"&amp;SUMIFS('Исходные данные'!$J$2:$J$953,'Исходные данные'!$D$2:$D$953,U$3,'Исходные данные'!$F$2:$F$953,$H19&amp;"")&amp;"="&amp;SUMIFS('Исходные данные'!$J$2:$J$953,'Исходные данные'!$D$2:$D$953,U$3,'Исходные данные'!$F$2:$F$953,$H19&amp;""),SUMIFS('Исходные данные'!$I$2:$I$953,'Исходные данные'!$D$2:$D$953,U$3,'Исходные данные'!$F$2:$F$953,$H19&amp;"")&amp;"+"&amp;SUMIFS('Исходные данные'!$J$2:$J$953,'Исходные данные'!$D$2:$D$953,U$3,'Исходные данные'!$F$2:$F$953,$H19&amp;"")&amp;"="&amp;(SUMIFS('Исходные данные'!$I$2:$I$953,'Исходные данные'!$D$2:$D$953,U$3,'Исходные данные'!$F$2:$F$953,$H19&amp;"")+SUMIFS('Исходные данные'!$J$2:$J$953,'Исходные данные'!$D$2:$D$953,U$3,'Исходные данные'!$F$2:$F$953,$H19&amp;"")))))</f>
        <v/>
      </c>
      <c r="V19" s="36">
        <f>IF(SUMIFS('Исходные данные'!$I$2:$I$953,'Исходные данные'!$D$2:$D$953,V$3,'Исходные данные'!$F$2:$F$953,$H19&amp;"")+SUMIFS('Исходные данные'!$J$2:$J$953,'Исходные данные'!$D$2:$D$953,V$3,'Исходные данные'!$F$2:$F$953,$H19&amp;"")=0,"",IF(SUMIFS('Исходные данные'!$J$2:$J$953,'Исходные данные'!$D$2:$D$953,V$3,'Исходные данные'!$F$2:$F$953,$H19&amp;"")=0,SUMIFS('Исходные данные'!$I$2:$I$953,'Исходные данные'!$D$2:$D$953,V$3,'Исходные данные'!$F$2:$F$953,$H19&amp;""),IF(SUMIFS('Исходные данные'!$I$2:$I$953,'Исходные данные'!$D$2:$D$953,V$3,'Исходные данные'!$F$2:$F$953,$H19&amp;"")=0,"0+"&amp;SUMIFS('Исходные данные'!$J$2:$J$953,'Исходные данные'!$D$2:$D$953,V$3,'Исходные данные'!$F$2:$F$953,$H19&amp;"")&amp;"="&amp;SUMIFS('Исходные данные'!$J$2:$J$953,'Исходные данные'!$D$2:$D$953,V$3,'Исходные данные'!$F$2:$F$953,$H19&amp;""),SUMIFS('Исходные данные'!$I$2:$I$953,'Исходные данные'!$D$2:$D$953,V$3,'Исходные данные'!$F$2:$F$953,$H19&amp;"")&amp;"+"&amp;SUMIFS('Исходные данные'!$J$2:$J$953,'Исходные данные'!$D$2:$D$953,V$3,'Исходные данные'!$F$2:$F$953,$H19&amp;"")&amp;"="&amp;(SUMIFS('Исходные данные'!$I$2:$I$953,'Исходные данные'!$D$2:$D$953,V$3,'Исходные данные'!$F$2:$F$953,$H19&amp;"")+SUMIFS('Исходные данные'!$J$2:$J$953,'Исходные данные'!$D$2:$D$953,V$3,'Исходные данные'!$F$2:$F$953,$H19&amp;"")))))</f>
        <v/>
      </c>
      <c r="W19" s="37">
        <f>IF(SUMIFS('Исходные данные'!$I$2:$I$953,'Исходные данные'!$D$2:$D$953,W$3,'Исходные данные'!$F$2:$F$953,$H19&amp;"")+SUMIFS('Исходные данные'!$J$2:$J$953,'Исходные данные'!$D$2:$D$953,W$3,'Исходные данные'!$F$2:$F$953,$H19&amp;"")=0,"",IF(SUMIFS('Исходные данные'!$J$2:$J$953,'Исходные данные'!$D$2:$D$953,W$3,'Исходные данные'!$F$2:$F$953,$H19&amp;"")=0,SUMIFS('Исходные данные'!$I$2:$I$953,'Исходные данные'!$D$2:$D$953,W$3,'Исходные данные'!$F$2:$F$953,$H19&amp;""),IF(SUMIFS('Исходные данные'!$I$2:$I$953,'Исходные данные'!$D$2:$D$953,W$3,'Исходные данные'!$F$2:$F$953,$H19&amp;"")=0,"0+"&amp;SUMIFS('Исходные данные'!$J$2:$J$953,'Исходные данные'!$D$2:$D$953,W$3,'Исходные данные'!$F$2:$F$953,$H19&amp;"")&amp;"="&amp;SUMIFS('Исходные данные'!$J$2:$J$953,'Исходные данные'!$D$2:$D$953,W$3,'Исходные данные'!$F$2:$F$953,$H19&amp;""),SUMIFS('Исходные данные'!$I$2:$I$953,'Исходные данные'!$D$2:$D$953,W$3,'Исходные данные'!$F$2:$F$953,$H19&amp;"")&amp;"+"&amp;SUMIFS('Исходные данные'!$J$2:$J$953,'Исходные данные'!$D$2:$D$953,W$3,'Исходные данные'!$F$2:$F$953,$H19&amp;"")&amp;"="&amp;(SUMIFS('Исходные данные'!$I$2:$I$953,'Исходные данные'!$D$2:$D$953,W$3,'Исходные данные'!$F$2:$F$953,$H19&amp;"")+SUMIFS('Исходные данные'!$J$2:$J$953,'Исходные данные'!$D$2:$D$953,W$3,'Исходные данные'!$F$2:$F$953,$H19&amp;"")))))</f>
        <v/>
      </c>
      <c r="X19" s="37">
        <f>IF(SUMIFS('Исходные данные'!$I$2:$I$953,'Исходные данные'!$D$2:$D$953,X$3,'Исходные данные'!$F$2:$F$953,$H19&amp;"")+SUMIFS('Исходные данные'!$J$2:$J$953,'Исходные данные'!$D$2:$D$953,X$3,'Исходные данные'!$F$2:$F$953,$H19&amp;"")=0,"",IF(SUMIFS('Исходные данные'!$J$2:$J$953,'Исходные данные'!$D$2:$D$953,X$3,'Исходные данные'!$F$2:$F$953,$H19&amp;"")=0,SUMIFS('Исходные данные'!$I$2:$I$953,'Исходные данные'!$D$2:$D$953,X$3,'Исходные данные'!$F$2:$F$953,$H19&amp;""),IF(SUMIFS('Исходные данные'!$I$2:$I$953,'Исходные данные'!$D$2:$D$953,X$3,'Исходные данные'!$F$2:$F$953,$H19&amp;"")=0,"0+"&amp;SUMIFS('Исходные данные'!$J$2:$J$953,'Исходные данные'!$D$2:$D$953,X$3,'Исходные данные'!$F$2:$F$953,$H19&amp;"")&amp;"="&amp;SUMIFS('Исходные данные'!$J$2:$J$953,'Исходные данные'!$D$2:$D$953,X$3,'Исходные данные'!$F$2:$F$953,$H19&amp;""),SUMIFS('Исходные данные'!$I$2:$I$953,'Исходные данные'!$D$2:$D$953,X$3,'Исходные данные'!$F$2:$F$953,$H19&amp;"")&amp;"+"&amp;SUMIFS('Исходные данные'!$J$2:$J$953,'Исходные данные'!$D$2:$D$953,X$3,'Исходные данные'!$F$2:$F$953,$H19&amp;"")&amp;"="&amp;(SUMIFS('Исходные данные'!$I$2:$I$953,'Исходные данные'!$D$2:$D$953,X$3,'Исходные данные'!$F$2:$F$953,$H19&amp;"")+SUMIFS('Исходные данные'!$J$2:$J$953,'Исходные данные'!$D$2:$D$953,X$3,'Исходные данные'!$F$2:$F$953,$H19&amp;"")))))</f>
        <v/>
      </c>
      <c r="Y19" s="39">
        <f>IF(SUMIFS('Исходные данные'!$I$2:$I$953,'Исходные данные'!$D$2:$D$953,Y$3,'Исходные данные'!$F$2:$F$953,$H19&amp;"")+SUMIFS('Исходные данные'!$J$2:$J$953,'Исходные данные'!$D$2:$D$953,Y$3,'Исходные данные'!$F$2:$F$953,$H19&amp;"")=0,"",IF(SUMIFS('Исходные данные'!$J$2:$J$953,'Исходные данные'!$D$2:$D$953,Y$3,'Исходные данные'!$F$2:$F$953,$H19&amp;"")=0,SUMIFS('Исходные данные'!$I$2:$I$953,'Исходные данные'!$D$2:$D$953,Y$3,'Исходные данные'!$F$2:$F$953,$H19&amp;""),IF(SUMIFS('Исходные данные'!$I$2:$I$953,'Исходные данные'!$D$2:$D$953,Y$3,'Исходные данные'!$F$2:$F$953,$H19&amp;"")=0,"0+"&amp;SUMIFS('Исходные данные'!$J$2:$J$953,'Исходные данные'!$D$2:$D$953,Y$3,'Исходные данные'!$F$2:$F$953,$H19&amp;"")&amp;"="&amp;SUMIFS('Исходные данные'!$J$2:$J$953,'Исходные данные'!$D$2:$D$953,Y$3,'Исходные данные'!$F$2:$F$953,$H19&amp;""),SUMIFS('Исходные данные'!$I$2:$I$953,'Исходные данные'!$D$2:$D$953,Y$3,'Исходные данные'!$F$2:$F$953,$H19&amp;"")&amp;"+"&amp;SUMIFS('Исходные данные'!$J$2:$J$953,'Исходные данные'!$D$2:$D$953,Y$3,'Исходные данные'!$F$2:$F$953,$H19&amp;"")&amp;"="&amp;(SUMIFS('Исходные данные'!$I$2:$I$953,'Исходные данные'!$D$2:$D$953,Y$3,'Исходные данные'!$F$2:$F$953,$H19&amp;"")+SUMIFS('Исходные данные'!$J$2:$J$953,'Исходные данные'!$D$2:$D$953,Y$3,'Исходные данные'!$F$2:$F$953,$H19&amp;"")))))</f>
        <v/>
      </c>
      <c r="Z19" s="36">
        <f>IF(SUMIFS('Исходные данные'!$I$2:$I$953,'Исходные данные'!$D$2:$D$953,Z$3,'Исходные данные'!$F$2:$F$953,$H19&amp;"")+SUMIFS('Исходные данные'!$J$2:$J$953,'Исходные данные'!$D$2:$D$953,Z$3,'Исходные данные'!$F$2:$F$953,$H19&amp;"")=0,"",IF(SUMIFS('Исходные данные'!$J$2:$J$953,'Исходные данные'!$D$2:$D$953,Z$3,'Исходные данные'!$F$2:$F$953,$H19&amp;"")=0,SUMIFS('Исходные данные'!$I$2:$I$953,'Исходные данные'!$D$2:$D$953,Z$3,'Исходные данные'!$F$2:$F$953,$H19&amp;""),IF(SUMIFS('Исходные данные'!$I$2:$I$953,'Исходные данные'!$D$2:$D$953,Z$3,'Исходные данные'!$F$2:$F$953,$H19&amp;"")=0,"0+"&amp;SUMIFS('Исходные данные'!$J$2:$J$953,'Исходные данные'!$D$2:$D$953,Z$3,'Исходные данные'!$F$2:$F$953,$H19&amp;"")&amp;"="&amp;SUMIFS('Исходные данные'!$J$2:$J$953,'Исходные данные'!$D$2:$D$953,Z$3,'Исходные данные'!$F$2:$F$953,$H19&amp;""),SUMIFS('Исходные данные'!$I$2:$I$953,'Исходные данные'!$D$2:$D$953,Z$3,'Исходные данные'!$F$2:$F$953,$H19&amp;"")&amp;"+"&amp;SUMIFS('Исходные данные'!$J$2:$J$953,'Исходные данные'!$D$2:$D$953,Z$3,'Исходные данные'!$F$2:$F$953,$H19&amp;"")&amp;"="&amp;(SUMIFS('Исходные данные'!$I$2:$I$953,'Исходные данные'!$D$2:$D$953,Z$3,'Исходные данные'!$F$2:$F$953,$H19&amp;"")+SUMIFS('Исходные данные'!$J$2:$J$953,'Исходные данные'!$D$2:$D$953,Z$3,'Исходные данные'!$F$2:$F$953,$H19&amp;"")))))</f>
        <v/>
      </c>
      <c r="AA19" s="37">
        <f>IF(SUMIFS('Исходные данные'!$I$2:$I$953,'Исходные данные'!$D$2:$D$953,AA$3,'Исходные данные'!$F$2:$F$953,$H19&amp;"")+SUMIFS('Исходные данные'!$J$2:$J$953,'Исходные данные'!$D$2:$D$953,AA$3,'Исходные данные'!$F$2:$F$953,$H19&amp;"")=0,"",IF(SUMIFS('Исходные данные'!$J$2:$J$953,'Исходные данные'!$D$2:$D$953,AA$3,'Исходные данные'!$F$2:$F$953,$H19&amp;"")=0,SUMIFS('Исходные данные'!$I$2:$I$953,'Исходные данные'!$D$2:$D$953,AA$3,'Исходные данные'!$F$2:$F$953,$H19&amp;""),IF(SUMIFS('Исходные данные'!$I$2:$I$953,'Исходные данные'!$D$2:$D$953,AA$3,'Исходные данные'!$F$2:$F$953,$H19&amp;"")=0,"0+"&amp;SUMIFS('Исходные данные'!$J$2:$J$953,'Исходные данные'!$D$2:$D$953,AA$3,'Исходные данные'!$F$2:$F$953,$H19&amp;"")&amp;"="&amp;SUMIFS('Исходные данные'!$J$2:$J$953,'Исходные данные'!$D$2:$D$953,AA$3,'Исходные данные'!$F$2:$F$953,$H19&amp;""),SUMIFS('Исходные данные'!$I$2:$I$953,'Исходные данные'!$D$2:$D$953,AA$3,'Исходные данные'!$F$2:$F$953,$H19&amp;"")&amp;"+"&amp;SUMIFS('Исходные данные'!$J$2:$J$953,'Исходные данные'!$D$2:$D$953,AA$3,'Исходные данные'!$F$2:$F$953,$H19&amp;"")&amp;"="&amp;(SUMIFS('Исходные данные'!$I$2:$I$953,'Исходные данные'!$D$2:$D$953,AA$3,'Исходные данные'!$F$2:$F$953,$H19&amp;"")+SUMIFS('Исходные данные'!$J$2:$J$953,'Исходные данные'!$D$2:$D$953,AA$3,'Исходные данные'!$F$2:$F$953,$H19&amp;"")))))</f>
        <v/>
      </c>
      <c r="AB19" s="37" t="n"/>
      <c r="AC19" s="39">
        <f>IF(SUMIFS('Исходные данные'!$I$2:$I$953,'Исходные данные'!$D$2:$D$953,AC$3,'Исходные данные'!$F$2:$F$953,$H19&amp;"")+SUMIFS('Исходные данные'!$J$2:$J$953,'Исходные данные'!$D$2:$D$953,AC$3,'Исходные данные'!$F$2:$F$953,$H19&amp;"")=0,"",IF(SUMIFS('Исходные данные'!$J$2:$J$953,'Исходные данные'!$D$2:$D$953,AC$3,'Исходные данные'!$F$2:$F$953,$H19&amp;"")=0,SUMIFS('Исходные данные'!$I$2:$I$953,'Исходные данные'!$D$2:$D$953,AC$3,'Исходные данные'!$F$2:$F$953,$H19&amp;""),IF(SUMIFS('Исходные данные'!$I$2:$I$953,'Исходные данные'!$D$2:$D$953,AC$3,'Исходные данные'!$F$2:$F$953,$H19&amp;"")=0,"0+"&amp;SUMIFS('Исходные данные'!$J$2:$J$953,'Исходные данные'!$D$2:$D$953,AC$3,'Исходные данные'!$F$2:$F$953,$H19&amp;"")&amp;"="&amp;SUMIFS('Исходные данные'!$J$2:$J$953,'Исходные данные'!$D$2:$D$953,AC$3,'Исходные данные'!$F$2:$F$953,$H19&amp;""),SUMIFS('Исходные данные'!$I$2:$I$953,'Исходные данные'!$D$2:$D$953,AC$3,'Исходные данные'!$F$2:$F$953,$H19&amp;"")&amp;"+"&amp;SUMIFS('Исходные данные'!$J$2:$J$953,'Исходные данные'!$D$2:$D$953,AC$3,'Исходные данные'!$F$2:$F$953,$H19&amp;"")&amp;"="&amp;(SUMIFS('Исходные данные'!$I$2:$I$953,'Исходные данные'!$D$2:$D$953,AC$3,'Исходные данные'!$F$2:$F$953,$H19&amp;"")+SUMIFS('Исходные данные'!$J$2:$J$953,'Исходные данные'!$D$2:$D$953,AC$3,'Исходные данные'!$F$2:$F$953,$H19&amp;"")))))</f>
        <v/>
      </c>
      <c r="AD19" s="37">
        <f>IF(SUMIFS('Исходные данные'!$I$2:$I$953,'Исходные данные'!$D$2:$D$953,AD$3,'Исходные данные'!$F$2:$F$953,$H19&amp;"")+SUMIFS('Исходные данные'!$J$2:$J$953,'Исходные данные'!$D$2:$D$953,AD$3,'Исходные данные'!$F$2:$F$953,$H19&amp;"")=0,"",IF(SUMIFS('Исходные данные'!$J$2:$J$953,'Исходные данные'!$D$2:$D$953,AD$3,'Исходные данные'!$F$2:$F$953,$H19&amp;"")=0,SUMIFS('Исходные данные'!$I$2:$I$953,'Исходные данные'!$D$2:$D$953,AD$3,'Исходные данные'!$F$2:$F$953,$H19&amp;""),IF(SUMIFS('Исходные данные'!$I$2:$I$953,'Исходные данные'!$D$2:$D$953,AD$3,'Исходные данные'!$F$2:$F$953,$H19&amp;"")=0,"0+"&amp;SUMIFS('Исходные данные'!$J$2:$J$953,'Исходные данные'!$D$2:$D$953,AD$3,'Исходные данные'!$F$2:$F$953,$H19&amp;"")&amp;"="&amp;SUMIFS('Исходные данные'!$J$2:$J$953,'Исходные данные'!$D$2:$D$953,AD$3,'Исходные данные'!$F$2:$F$953,$H19&amp;""),SUMIFS('Исходные данные'!$I$2:$I$953,'Исходные данные'!$D$2:$D$953,AD$3,'Исходные данные'!$F$2:$F$953,$H19&amp;"")&amp;"+"&amp;SUMIFS('Исходные данные'!$J$2:$J$953,'Исходные данные'!$D$2:$D$953,AD$3,'Исходные данные'!$F$2:$F$953,$H19&amp;"")&amp;"="&amp;(SUMIFS('Исходные данные'!$I$2:$I$953,'Исходные данные'!$D$2:$D$953,AD$3,'Исходные данные'!$F$2:$F$953,$H19&amp;"")+SUMIFS('Исходные данные'!$J$2:$J$953,'Исходные данные'!$D$2:$D$953,AD$3,'Исходные данные'!$F$2:$F$953,$H19&amp;"")))))</f>
        <v/>
      </c>
    </row>
    <row r="20" ht="25.5" customHeight="1">
      <c r="A20" s="34" t="n">
        <v>18</v>
      </c>
      <c r="B20" s="95" t="n"/>
      <c r="C20" s="117" t="n"/>
      <c r="D20" s="118" t="n"/>
      <c r="E20" s="117" t="n"/>
      <c r="F20" s="117" t="n"/>
      <c r="G20" s="102" t="n"/>
      <c r="H20" s="56" t="n"/>
      <c r="I20" s="41" t="n"/>
      <c r="J20" s="73" t="n"/>
      <c r="K20" s="67" t="n"/>
      <c r="L20" s="85" t="n"/>
      <c r="M20" s="79" t="n"/>
      <c r="N20" s="79" t="n"/>
      <c r="O20" s="42">
        <f>IF(SUMIFS('Исходные данные'!$I$2:$I$953,'Исходные данные'!$D$2:$D$953,O$3,'Исходные данные'!$F$2:$F$953,$H21&amp;"",'Исходные данные'!$L$2:$L$953,"УТТ")+SUMIFS('Исходные данные'!$J$2:$J$953,'Исходные данные'!$D$2:$D$953,O$3,'Исходные данные'!$F$2:$F$953,$H21&amp;"",'Исходные данные'!$L$2:$L$953,"УТТ")=0,"","утт-"&amp;(SUMIFS('Исходные данные'!$I$2:$I$953,'Исходные данные'!$D$2:$D$953,O$3,'Исходные данные'!$F$2:$F$953,$H21&amp;"",'Исходные данные'!$L$2:$L$953,"УТТ")+SUMIFS('Исходные данные'!$J$2:$J$953,'Исходные данные'!$D$2:$D$953,O$3,'Исходные данные'!$F$2:$F$953,$H21&amp;"",'Исходные данные'!$L$2:$L$953,"УТТ")))</f>
        <v/>
      </c>
      <c r="P20" s="43">
        <f>IF(SUMIFS('Исходные данные'!$I$2:$I$953,'Исходные данные'!$D$2:$D$953,P$3,'Исходные данные'!$F$2:$F$953,$H21&amp;"",'Исходные данные'!$L$2:$L$953,"УТТ")+SUMIFS('Исходные данные'!$J$2:$J$953,'Исходные данные'!$D$2:$D$953,P$3,'Исходные данные'!$F$2:$F$953,$H21&amp;"",'Исходные данные'!$L$2:$L$953,"УТТ")=0,"","утт-"&amp;(SUMIFS('Исходные данные'!$I$2:$I$953,'Исходные данные'!$D$2:$D$953,P$3,'Исходные данные'!$F$2:$F$953,$H21&amp;"",'Исходные данные'!$L$2:$L$953,"УТТ")+SUMIFS('Исходные данные'!$J$2:$J$953,'Исходные данные'!$D$2:$D$953,P$3,'Исходные данные'!$F$2:$F$953,$H21&amp;"",'Исходные данные'!$L$2:$L$953,"УТТ")))</f>
        <v/>
      </c>
      <c r="Q20" s="42">
        <f>IF(SUMIFS('Исходные данные'!$I$2:$I$953,'Исходные данные'!$D$2:$D$953,Q$3,'Исходные данные'!$F$2:$F$953,$H21&amp;"",'Исходные данные'!$L$2:$L$953,"УТТ")+SUMIFS('Исходные данные'!$J$2:$J$953,'Исходные данные'!$D$2:$D$953,Q$3,'Исходные данные'!$F$2:$F$953,$H21&amp;"",'Исходные данные'!$L$2:$L$953,"УТТ")=0,"","утт-"&amp;(SUMIFS('Исходные данные'!$I$2:$I$953,'Исходные данные'!$D$2:$D$953,Q$3,'Исходные данные'!$F$2:$F$953,$H21&amp;"",'Исходные данные'!$L$2:$L$953,"УТТ")+SUMIFS('Исходные данные'!$J$2:$J$953,'Исходные данные'!$D$2:$D$953,Q$3,'Исходные данные'!$F$2:$F$953,$H21&amp;"",'Исходные данные'!$L$2:$L$953,"УТТ")))</f>
        <v/>
      </c>
      <c r="R20" s="44">
        <f>IF(SUMIFS('Исходные данные'!$I$2:$I$953,'Исходные данные'!$D$2:$D$953,R$3,'Исходные данные'!$F$2:$F$953,$H21&amp;"",'Исходные данные'!$L$2:$L$953,"УТТ")+SUMIFS('Исходные данные'!$J$2:$J$953,'Исходные данные'!$D$2:$D$953,R$3,'Исходные данные'!$F$2:$F$953,$H21&amp;"",'Исходные данные'!$L$2:$L$953,"УТТ")=0,"","утт-"&amp;(SUMIFS('Исходные данные'!$I$2:$I$953,'Исходные данные'!$D$2:$D$953,R$3,'Исходные данные'!$F$2:$F$953,$H21&amp;"",'Исходные данные'!$L$2:$L$953,"УТТ")+SUMIFS('Исходные данные'!$J$2:$J$953,'Исходные данные'!$D$2:$D$953,R$3,'Исходные данные'!$F$2:$F$953,$H21&amp;"",'Исходные данные'!$L$2:$L$953,"УТТ")))</f>
        <v/>
      </c>
      <c r="S20" s="43">
        <f>IF(SUMIFS('Исходные данные'!$I$2:$I$953,'Исходные данные'!$D$2:$D$953,S$3,'Исходные данные'!$F$2:$F$953,$H21&amp;"",'Исходные данные'!$L$2:$L$953,"УТТ")+SUMIFS('Исходные данные'!$J$2:$J$953,'Исходные данные'!$D$2:$D$953,S$3,'Исходные данные'!$F$2:$F$953,$H21&amp;"",'Исходные данные'!$L$2:$L$953,"УТТ")=0,"","утт-"&amp;(SUMIFS('Исходные данные'!$I$2:$I$953,'Исходные данные'!$D$2:$D$953,S$3,'Исходные данные'!$F$2:$F$953,$H21&amp;"",'Исходные данные'!$L$2:$L$953,"УТТ")+SUMIFS('Исходные данные'!$J$2:$J$953,'Исходные данные'!$D$2:$D$953,S$3,'Исходные данные'!$F$2:$F$953,$H21&amp;"",'Исходные данные'!$L$2:$L$953,"УТТ")))</f>
        <v/>
      </c>
      <c r="T20" s="42">
        <f>IF(SUMIFS('Исходные данные'!$I$2:$I$953,'Исходные данные'!$D$2:$D$953,T$3,'Исходные данные'!$F$2:$F$953,$H21&amp;"",'Исходные данные'!$L$2:$L$953,"УТТ")+SUMIFS('Исходные данные'!$J$2:$J$953,'Исходные данные'!$D$2:$D$953,T$3,'Исходные данные'!$F$2:$F$953,$H21&amp;"",'Исходные данные'!$L$2:$L$953,"УТТ")=0,"","утт-"&amp;(SUMIFS('Исходные данные'!$I$2:$I$953,'Исходные данные'!$D$2:$D$953,T$3,'Исходные данные'!$F$2:$F$953,$H21&amp;"",'Исходные данные'!$L$2:$L$953,"УТТ")+SUMIFS('Исходные данные'!$J$2:$J$953,'Исходные данные'!$D$2:$D$953,T$3,'Исходные данные'!$F$2:$F$953,$H21&amp;"",'Исходные данные'!$L$2:$L$953,"УТТ")))</f>
        <v/>
      </c>
      <c r="U20" s="43">
        <f>IF(SUMIFS('Исходные данные'!$I$2:$I$953,'Исходные данные'!$D$2:$D$953,U$3,'Исходные данные'!$F$2:$F$953,$H21&amp;"",'Исходные данные'!$L$2:$L$953,"УТТ")+SUMIFS('Исходные данные'!$J$2:$J$953,'Исходные данные'!$D$2:$D$953,U$3,'Исходные данные'!$F$2:$F$953,$H21&amp;"",'Исходные данные'!$L$2:$L$953,"УТТ")=0,"","утт-"&amp;(SUMIFS('Исходные данные'!$I$2:$I$953,'Исходные данные'!$D$2:$D$953,U$3,'Исходные данные'!$F$2:$F$953,$H21&amp;"",'Исходные данные'!$L$2:$L$953,"УТТ")+SUMIFS('Исходные данные'!$J$2:$J$953,'Исходные данные'!$D$2:$D$953,U$3,'Исходные данные'!$F$2:$F$953,$H21&amp;"",'Исходные данные'!$L$2:$L$953,"УТТ")))</f>
        <v/>
      </c>
      <c r="V20" s="42">
        <f>IF(SUMIFS('Исходные данные'!$I$2:$I$953,'Исходные данные'!$D$2:$D$953,V$3,'Исходные данные'!$F$2:$F$953,$H21&amp;"",'Исходные данные'!$L$2:$L$953,"УТТ")+SUMIFS('Исходные данные'!$J$2:$J$953,'Исходные данные'!$D$2:$D$953,V$3,'Исходные данные'!$F$2:$F$953,$H21&amp;"",'Исходные данные'!$L$2:$L$953,"УТТ")=0,"","утт-"&amp;(SUMIFS('Исходные данные'!$I$2:$I$953,'Исходные данные'!$D$2:$D$953,V$3,'Исходные данные'!$F$2:$F$953,$H21&amp;"",'Исходные данные'!$L$2:$L$953,"УТТ")+SUMIFS('Исходные данные'!$J$2:$J$953,'Исходные данные'!$D$2:$D$953,V$3,'Исходные данные'!$F$2:$F$953,$H21&amp;"",'Исходные данные'!$L$2:$L$953,"УТТ")))</f>
        <v/>
      </c>
      <c r="W20" s="43">
        <f>IF(SUMIFS('Исходные данные'!$I$2:$I$953,'Исходные данные'!$D$2:$D$953,W$3,'Исходные данные'!$F$2:$F$953,$H21&amp;"",'Исходные данные'!$L$2:$L$953,"УТТ")+SUMIFS('Исходные данные'!$J$2:$J$953,'Исходные данные'!$D$2:$D$953,W$3,'Исходные данные'!$F$2:$F$953,$H21&amp;"",'Исходные данные'!$L$2:$L$953,"УТТ")=0,"","утт-"&amp;(SUMIFS('Исходные данные'!$I$2:$I$953,'Исходные данные'!$D$2:$D$953,W$3,'Исходные данные'!$F$2:$F$953,$H21&amp;"",'Исходные данные'!$L$2:$L$953,"УТТ")+SUMIFS('Исходные данные'!$J$2:$J$953,'Исходные данные'!$D$2:$D$953,W$3,'Исходные данные'!$F$2:$F$953,$H21&amp;"",'Исходные данные'!$L$2:$L$953,"УТТ")))</f>
        <v/>
      </c>
      <c r="X20" s="43">
        <f>IF(SUMIFS('Исходные данные'!$I$2:$I$953,'Исходные данные'!$D$2:$D$953,X$3,'Исходные данные'!$F$2:$F$953,$H21&amp;"",'Исходные данные'!$L$2:$L$953,"УТТ")+SUMIFS('Исходные данные'!$J$2:$J$953,'Исходные данные'!$D$2:$D$953,X$3,'Исходные данные'!$F$2:$F$953,$H21&amp;"",'Исходные данные'!$L$2:$L$953,"УТТ")=0,"","утт-"&amp;(SUMIFS('Исходные данные'!$I$2:$I$953,'Исходные данные'!$D$2:$D$953,X$3,'Исходные данные'!$F$2:$F$953,$H21&amp;"",'Исходные данные'!$L$2:$L$953,"УТТ")+SUMIFS('Исходные данные'!$J$2:$J$953,'Исходные данные'!$D$2:$D$953,X$3,'Исходные данные'!$F$2:$F$953,$H21&amp;"",'Исходные данные'!$L$2:$L$953,"УТТ")))</f>
        <v/>
      </c>
      <c r="Y20" s="45">
        <f>IF(SUMIFS('Исходные данные'!$I$2:$I$953,'Исходные данные'!$D$2:$D$953,Y$3,'Исходные данные'!$F$2:$F$953,$H21&amp;"",'Исходные данные'!$L$2:$L$953,"УТТ")+SUMIFS('Исходные данные'!$J$2:$J$953,'Исходные данные'!$D$2:$D$953,Y$3,'Исходные данные'!$F$2:$F$953,$H21&amp;"",'Исходные данные'!$L$2:$L$953,"УТТ")=0,"","утт-"&amp;(SUMIFS('Исходные данные'!$I$2:$I$953,'Исходные данные'!$D$2:$D$953,Y$3,'Исходные данные'!$F$2:$F$953,$H21&amp;"",'Исходные данные'!$L$2:$L$953,"УТТ")+SUMIFS('Исходные данные'!$J$2:$J$953,'Исходные данные'!$D$2:$D$953,Y$3,'Исходные данные'!$F$2:$F$953,$H21&amp;"",'Исходные данные'!$L$2:$L$953,"УТТ")))</f>
        <v/>
      </c>
      <c r="Z20" s="42">
        <f>IF(SUMIFS('Исходные данные'!$I$2:$I$953,'Исходные данные'!$D$2:$D$953,Z$3,'Исходные данные'!$F$2:$F$953,$H21&amp;"",'Исходные данные'!$L$2:$L$953,"УТТ")+SUMIFS('Исходные данные'!$J$2:$J$953,'Исходные данные'!$D$2:$D$953,Z$3,'Исходные данные'!$F$2:$F$953,$H21&amp;"",'Исходные данные'!$L$2:$L$953,"УТТ")=0,"","утт-"&amp;(SUMIFS('Исходные данные'!$I$2:$I$953,'Исходные данные'!$D$2:$D$953,Z$3,'Исходные данные'!$F$2:$F$953,$H21&amp;"",'Исходные данные'!$L$2:$L$953,"УТТ")+SUMIFS('Исходные данные'!$J$2:$J$953,'Исходные данные'!$D$2:$D$953,Z$3,'Исходные данные'!$F$2:$F$953,$H21&amp;"",'Исходные данные'!$L$2:$L$953,"УТТ")))</f>
        <v/>
      </c>
      <c r="AA20" s="43">
        <f>IF(SUMIFS('Исходные данные'!$I$2:$I$953,'Исходные данные'!$D$2:$D$953,AA$3,'Исходные данные'!$F$2:$F$953,$H21&amp;"",'Исходные данные'!$L$2:$L$953,"УТТ")+SUMIFS('Исходные данные'!$J$2:$J$953,'Исходные данные'!$D$2:$D$953,AA$3,'Исходные данные'!$F$2:$F$953,$H21&amp;"",'Исходные данные'!$L$2:$L$953,"УТТ")=0,"","утт-"&amp;(SUMIFS('Исходные данные'!$I$2:$I$953,'Исходные данные'!$D$2:$D$953,AA$3,'Исходные данные'!$F$2:$F$953,$H21&amp;"",'Исходные данные'!$L$2:$L$953,"УТТ")+SUMIFS('Исходные данные'!$J$2:$J$953,'Исходные данные'!$D$2:$D$953,AA$3,'Исходные данные'!$F$2:$F$953,$H21&amp;"",'Исходные данные'!$L$2:$L$953,"УТТ")))</f>
        <v/>
      </c>
      <c r="AB20" s="43" t="n"/>
      <c r="AC20" s="42">
        <f>IF(SUMIFS('Исходные данные'!$I$2:$I$953,'Исходные данные'!$D$2:$D$953,AC$3,'Исходные данные'!$F$2:$F$953,$H21&amp;"",'Исходные данные'!$L$2:$L$953,"УТТ")+SUMIFS('Исходные данные'!$J$2:$J$953,'Исходные данные'!$D$2:$D$953,AC$3,'Исходные данные'!$F$2:$F$953,$H21&amp;"",'Исходные данные'!$L$2:$L$953,"УТТ")=0,"","утт-"&amp;(SUMIFS('Исходные данные'!$I$2:$I$953,'Исходные данные'!$D$2:$D$953,AC$3,'Исходные данные'!$F$2:$F$953,$H21&amp;"",'Исходные данные'!$L$2:$L$953,"УТТ")+SUMIFS('Исходные данные'!$J$2:$J$953,'Исходные данные'!$D$2:$D$953,AC$3,'Исходные данные'!$F$2:$F$953,$H21&amp;"",'Исходные данные'!$L$2:$L$953,"УТТ")))</f>
        <v/>
      </c>
      <c r="AD20" s="43">
        <f>IF(SUMIFS('Исходные данные'!$I$2:$I$953,'Исходные данные'!$D$2:$D$953,AD$3,'Исходные данные'!$F$2:$F$953,$H21&amp;"",'Исходные данные'!$L$2:$L$953,"УТТ")+SUMIFS('Исходные данные'!$J$2:$J$953,'Исходные данные'!$D$2:$D$953,AD$3,'Исходные данные'!$F$2:$F$953,$H21&amp;"",'Исходные данные'!$L$2:$L$953,"УТТ")=0,"","утт-"&amp;(SUMIFS('Исходные данные'!$I$2:$I$953,'Исходные данные'!$D$2:$D$953,AD$3,'Исходные данные'!$F$2:$F$953,$H21&amp;"",'Исходные данные'!$L$2:$L$953,"УТТ")+SUMIFS('Исходные данные'!$J$2:$J$953,'Исходные данные'!$D$2:$D$953,AD$3,'Исходные данные'!$F$2:$F$953,$H21&amp;"",'Исходные данные'!$L$2:$L$953,"УТТ")))</f>
        <v/>
      </c>
    </row>
    <row r="21" ht="25.5" customHeight="1">
      <c r="A21" s="26" t="n">
        <v>19</v>
      </c>
      <c r="B21" s="95" t="n"/>
      <c r="C21" s="117" t="n"/>
      <c r="D21" s="118" t="n"/>
      <c r="E21" s="117" t="n"/>
      <c r="F21" s="117" t="n"/>
      <c r="G21" s="102" t="n"/>
      <c r="H21" s="56" t="n">
        <v>50</v>
      </c>
      <c r="I21" s="35" t="inlineStr">
        <is>
          <t>Бульдозер</t>
        </is>
      </c>
      <c r="J21" s="72">
        <f>IFERROR(INDEX('Выход ТС'!$C:$C,MATCH($H21&amp;"",'Выход ТС'!$A:$A,0)),"")</f>
        <v/>
      </c>
      <c r="K21" s="66">
        <f>IFERROR(INDEX('Выход ТС'!$D:$D,MATCH($H21&amp;"",'Выход ТС'!$A:$A,0)),"")</f>
        <v/>
      </c>
      <c r="L21" s="84">
        <f>IFERROR(INDEX('Выход ТС'!$E:$E,MATCH($H21&amp;"",'Выход ТС'!$A:$A,0)),"")</f>
        <v/>
      </c>
      <c r="M21" s="78">
        <f>IFERROR(IF(INDEX('Выход ТС'!$F:$F,MATCH($H21&amp;"",'Выход ТС'!$A:$A,0))=0,"",INDEX('Выход ТС'!$F:$F,MATCH($H21&amp;"",'Выход ТС'!$A:$A,0))),"")</f>
        <v/>
      </c>
      <c r="N21" s="80">
        <f>IFERROR(IF(INDEX('Выход ТС'!$G:$G,MATCH($H21&amp;"",'Выход ТС'!$A:$A,0))=0,"",INDEX('Выход ТС'!$G:$G,MATCH($H21&amp;"",'Выход ТС'!$A:$A,0))),"")</f>
        <v/>
      </c>
      <c r="O21" s="39">
        <f>IF(SUMIFS('Исходные данные'!$I$2:$I$953,'Исходные данные'!$D$2:$D$953,O$3,'Исходные данные'!$F$2:$F$953,$H21&amp;"")+SUMIFS('Исходные данные'!$J$2:$J$953,'Исходные данные'!$D$2:$D$953,O$3,'Исходные данные'!$F$2:$F$953,$H21&amp;"")=0,"",IF(SUMIFS('Исходные данные'!$J$2:$J$953,'Исходные данные'!$D$2:$D$953,O$3,'Исходные данные'!$F$2:$F$953,$H21&amp;"")=0,SUMIFS('Исходные данные'!$I$2:$I$953,'Исходные данные'!$D$2:$D$953,O$3,'Исходные данные'!$F$2:$F$953,$H21&amp;""),IF(SUMIFS('Исходные данные'!$I$2:$I$953,'Исходные данные'!$D$2:$D$953,O$3,'Исходные данные'!$F$2:$F$953,$H21&amp;"")=0,"0+"&amp;SUMIFS('Исходные данные'!$J$2:$J$953,'Исходные данные'!$D$2:$D$953,O$3,'Исходные данные'!$F$2:$F$953,$H21&amp;"")&amp;"="&amp;SUMIFS('Исходные данные'!$J$2:$J$953,'Исходные данные'!$D$2:$D$953,O$3,'Исходные данные'!$F$2:$F$953,$H21&amp;""),SUMIFS('Исходные данные'!$I$2:$I$953,'Исходные данные'!$D$2:$D$953,O$3,'Исходные данные'!$F$2:$F$953,$H21&amp;"")&amp;"+"&amp;SUMIFS('Исходные данные'!$J$2:$J$953,'Исходные данные'!$D$2:$D$953,O$3,'Исходные данные'!$F$2:$F$953,$H21&amp;"")&amp;"="&amp;(SUMIFS('Исходные данные'!$I$2:$I$953,'Исходные данные'!$D$2:$D$953,O$3,'Исходные данные'!$F$2:$F$953,$H21&amp;"")+SUMIFS('Исходные данные'!$J$2:$J$953,'Исходные данные'!$D$2:$D$953,O$3,'Исходные данные'!$F$2:$F$953,$H21&amp;"")))))</f>
        <v/>
      </c>
      <c r="P21" s="37">
        <f>IF(SUMIFS('Исходные данные'!$I$2:$I$953,'Исходные данные'!$D$2:$D$953,P$3,'Исходные данные'!$F$2:$F$953,$H21&amp;"")+SUMIFS('Исходные данные'!$J$2:$J$953,'Исходные данные'!$D$2:$D$953,P$3,'Исходные данные'!$F$2:$F$953,$H21&amp;"")=0,"",IF(SUMIFS('Исходные данные'!$J$2:$J$953,'Исходные данные'!$D$2:$D$953,P$3,'Исходные данные'!$F$2:$F$953,$H21&amp;"")=0,SUMIFS('Исходные данные'!$I$2:$I$953,'Исходные данные'!$D$2:$D$953,P$3,'Исходные данные'!$F$2:$F$953,$H21&amp;""),IF(SUMIFS('Исходные данные'!$I$2:$I$953,'Исходные данные'!$D$2:$D$953,P$3,'Исходные данные'!$F$2:$F$953,$H21&amp;"")=0,"0+"&amp;SUMIFS('Исходные данные'!$J$2:$J$953,'Исходные данные'!$D$2:$D$953,P$3,'Исходные данные'!$F$2:$F$953,$H21&amp;"")&amp;"="&amp;SUMIFS('Исходные данные'!$J$2:$J$953,'Исходные данные'!$D$2:$D$953,P$3,'Исходные данные'!$F$2:$F$953,$H21&amp;""),SUMIFS('Исходные данные'!$I$2:$I$953,'Исходные данные'!$D$2:$D$953,P$3,'Исходные данные'!$F$2:$F$953,$H21&amp;"")&amp;"+"&amp;SUMIFS('Исходные данные'!$J$2:$J$953,'Исходные данные'!$D$2:$D$953,P$3,'Исходные данные'!$F$2:$F$953,$H21&amp;"")&amp;"="&amp;(SUMIFS('Исходные данные'!$I$2:$I$953,'Исходные данные'!$D$2:$D$953,P$3,'Исходные данные'!$F$2:$F$953,$H21&amp;"")+SUMIFS('Исходные данные'!$J$2:$J$953,'Исходные данные'!$D$2:$D$953,P$3,'Исходные данные'!$F$2:$F$953,$H21&amp;"")))))</f>
        <v/>
      </c>
      <c r="Q21" s="37">
        <f>IF(SUMIFS('Исходные данные'!$I$2:$I$953,'Исходные данные'!$D$2:$D$953,Q$3,'Исходные данные'!$F$2:$F$953,$H21&amp;"")+SUMIFS('Исходные данные'!$J$2:$J$953,'Исходные данные'!$D$2:$D$953,Q$3,'Исходные данные'!$F$2:$F$953,$H21&amp;"")=0,"",IF(SUMIFS('Исходные данные'!$J$2:$J$953,'Исходные данные'!$D$2:$D$953,Q$3,'Исходные данные'!$F$2:$F$953,$H21&amp;"")=0,SUMIFS('Исходные данные'!$I$2:$I$953,'Исходные данные'!$D$2:$D$953,Q$3,'Исходные данные'!$F$2:$F$953,$H21&amp;""),IF(SUMIFS('Исходные данные'!$I$2:$I$953,'Исходные данные'!$D$2:$D$953,Q$3,'Исходные данные'!$F$2:$F$953,$H21&amp;"")=0,"0+"&amp;SUMIFS('Исходные данные'!$J$2:$J$953,'Исходные данные'!$D$2:$D$953,Q$3,'Исходные данные'!$F$2:$F$953,$H21&amp;"")&amp;"="&amp;SUMIFS('Исходные данные'!$J$2:$J$953,'Исходные данные'!$D$2:$D$953,Q$3,'Исходные данные'!$F$2:$F$953,$H21&amp;""),SUMIFS('Исходные данные'!$I$2:$I$953,'Исходные данные'!$D$2:$D$953,Q$3,'Исходные данные'!$F$2:$F$953,$H21&amp;"")&amp;"+"&amp;SUMIFS('Исходные данные'!$J$2:$J$953,'Исходные данные'!$D$2:$D$953,Q$3,'Исходные данные'!$F$2:$F$953,$H21&amp;"")&amp;"="&amp;(SUMIFS('Исходные данные'!$I$2:$I$953,'Исходные данные'!$D$2:$D$953,Q$3,'Исходные данные'!$F$2:$F$953,$H21&amp;"")+SUMIFS('Исходные данные'!$J$2:$J$953,'Исходные данные'!$D$2:$D$953,Q$3,'Исходные данные'!$F$2:$F$953,$H21&amp;"")))))</f>
        <v/>
      </c>
      <c r="R21" s="38">
        <f>IF(SUMIFS('Исходные данные'!$I$2:$I$953,'Исходные данные'!$D$2:$D$953,R$3,'Исходные данные'!$F$2:$F$953,$H21&amp;"")+SUMIFS('Исходные данные'!$J$2:$J$953,'Исходные данные'!$D$2:$D$953,R$3,'Исходные данные'!$F$2:$F$953,$H21&amp;"")=0,"",IF(SUMIFS('Исходные данные'!$J$2:$J$953,'Исходные данные'!$D$2:$D$953,R$3,'Исходные данные'!$F$2:$F$953,$H21&amp;"")=0,SUMIFS('Исходные данные'!$I$2:$I$953,'Исходные данные'!$D$2:$D$953,R$3,'Исходные данные'!$F$2:$F$953,$H21&amp;""),IF(SUMIFS('Исходные данные'!$I$2:$I$953,'Исходные данные'!$D$2:$D$953,R$3,'Исходные данные'!$F$2:$F$953,$H21&amp;"")=0,"0+"&amp;SUMIFS('Исходные данные'!$J$2:$J$953,'Исходные данные'!$D$2:$D$953,R$3,'Исходные данные'!$F$2:$F$953,$H21&amp;"")&amp;"="&amp;SUMIFS('Исходные данные'!$J$2:$J$953,'Исходные данные'!$D$2:$D$953,R$3,'Исходные данные'!$F$2:$F$953,$H21&amp;""),SUMIFS('Исходные данные'!$I$2:$I$953,'Исходные данные'!$D$2:$D$953,R$3,'Исходные данные'!$F$2:$F$953,$H21&amp;"")&amp;"+"&amp;SUMIFS('Исходные данные'!$J$2:$J$953,'Исходные данные'!$D$2:$D$953,R$3,'Исходные данные'!$F$2:$F$953,$H21&amp;"")&amp;"="&amp;(SUMIFS('Исходные данные'!$I$2:$I$953,'Исходные данные'!$D$2:$D$953,R$3,'Исходные данные'!$F$2:$F$953,$H21&amp;"")+SUMIFS('Исходные данные'!$J$2:$J$953,'Исходные данные'!$D$2:$D$953,R$3,'Исходные данные'!$F$2:$F$953,$H21&amp;"")))))</f>
        <v/>
      </c>
      <c r="S21" s="37">
        <f>IF(SUMIFS('Исходные данные'!$I$2:$I$953,'Исходные данные'!$D$2:$D$953,S$3,'Исходные данные'!$F$2:$F$953,$H21&amp;"")+SUMIFS('Исходные данные'!$J$2:$J$953,'Исходные данные'!$D$2:$D$953,S$3,'Исходные данные'!$F$2:$F$953,$H21&amp;"")=0,"",IF(SUMIFS('Исходные данные'!$J$2:$J$953,'Исходные данные'!$D$2:$D$953,S$3,'Исходные данные'!$F$2:$F$953,$H21&amp;"")=0,SUMIFS('Исходные данные'!$I$2:$I$953,'Исходные данные'!$D$2:$D$953,S$3,'Исходные данные'!$F$2:$F$953,$H21&amp;""),IF(SUMIFS('Исходные данные'!$I$2:$I$953,'Исходные данные'!$D$2:$D$953,S$3,'Исходные данные'!$F$2:$F$953,$H21&amp;"")=0,"0+"&amp;SUMIFS('Исходные данные'!$J$2:$J$953,'Исходные данные'!$D$2:$D$953,S$3,'Исходные данные'!$F$2:$F$953,$H21&amp;"")&amp;"="&amp;SUMIFS('Исходные данные'!$J$2:$J$953,'Исходные данные'!$D$2:$D$953,S$3,'Исходные данные'!$F$2:$F$953,$H21&amp;""),SUMIFS('Исходные данные'!$I$2:$I$953,'Исходные данные'!$D$2:$D$953,S$3,'Исходные данные'!$F$2:$F$953,$H21&amp;"")&amp;"+"&amp;SUMIFS('Исходные данные'!$J$2:$J$953,'Исходные данные'!$D$2:$D$953,S$3,'Исходные данные'!$F$2:$F$953,$H21&amp;"")&amp;"="&amp;(SUMIFS('Исходные данные'!$I$2:$I$953,'Исходные данные'!$D$2:$D$953,S$3,'Исходные данные'!$F$2:$F$953,$H21&amp;"")+SUMIFS('Исходные данные'!$J$2:$J$953,'Исходные данные'!$D$2:$D$953,S$3,'Исходные данные'!$F$2:$F$953,$H21&amp;"")))))</f>
        <v/>
      </c>
      <c r="T21" s="36">
        <f>IF(SUMIFS('Исходные данные'!$I$2:$I$953,'Исходные данные'!$D$2:$D$953,T$3,'Исходные данные'!$F$2:$F$953,$H21&amp;"")+SUMIFS('Исходные данные'!$J$2:$J$953,'Исходные данные'!$D$2:$D$953,T$3,'Исходные данные'!$F$2:$F$953,$H21&amp;"")=0,"",IF(SUMIFS('Исходные данные'!$J$2:$J$953,'Исходные данные'!$D$2:$D$953,T$3,'Исходные данные'!$F$2:$F$953,$H21&amp;"")=0,SUMIFS('Исходные данные'!$I$2:$I$953,'Исходные данные'!$D$2:$D$953,T$3,'Исходные данные'!$F$2:$F$953,$H21&amp;""),IF(SUMIFS('Исходные данные'!$I$2:$I$953,'Исходные данные'!$D$2:$D$953,T$3,'Исходные данные'!$F$2:$F$953,$H21&amp;"")=0,"0+"&amp;SUMIFS('Исходные данные'!$J$2:$J$953,'Исходные данные'!$D$2:$D$953,T$3,'Исходные данные'!$F$2:$F$953,$H21&amp;"")&amp;"="&amp;SUMIFS('Исходные данные'!$J$2:$J$953,'Исходные данные'!$D$2:$D$953,T$3,'Исходные данные'!$F$2:$F$953,$H21&amp;""),SUMIFS('Исходные данные'!$I$2:$I$953,'Исходные данные'!$D$2:$D$953,T$3,'Исходные данные'!$F$2:$F$953,$H21&amp;"")&amp;"+"&amp;SUMIFS('Исходные данные'!$J$2:$J$953,'Исходные данные'!$D$2:$D$953,T$3,'Исходные данные'!$F$2:$F$953,$H21&amp;"")&amp;"="&amp;(SUMIFS('Исходные данные'!$I$2:$I$953,'Исходные данные'!$D$2:$D$953,T$3,'Исходные данные'!$F$2:$F$953,$H21&amp;"")+SUMIFS('Исходные данные'!$J$2:$J$953,'Исходные данные'!$D$2:$D$953,T$3,'Исходные данные'!$F$2:$F$953,$H21&amp;"")))))</f>
        <v/>
      </c>
      <c r="U21" s="37">
        <f>IF(SUMIFS('Исходные данные'!$I$2:$I$953,'Исходные данные'!$D$2:$D$953,U$3,'Исходные данные'!$F$2:$F$953,$H21&amp;"")+SUMIFS('Исходные данные'!$J$2:$J$953,'Исходные данные'!$D$2:$D$953,U$3,'Исходные данные'!$F$2:$F$953,$H21&amp;"")=0,"",IF(SUMIFS('Исходные данные'!$J$2:$J$953,'Исходные данные'!$D$2:$D$953,U$3,'Исходные данные'!$F$2:$F$953,$H21&amp;"")=0,SUMIFS('Исходные данные'!$I$2:$I$953,'Исходные данные'!$D$2:$D$953,U$3,'Исходные данные'!$F$2:$F$953,$H21&amp;""),IF(SUMIFS('Исходные данные'!$I$2:$I$953,'Исходные данные'!$D$2:$D$953,U$3,'Исходные данные'!$F$2:$F$953,$H21&amp;"")=0,"0+"&amp;SUMIFS('Исходные данные'!$J$2:$J$953,'Исходные данные'!$D$2:$D$953,U$3,'Исходные данные'!$F$2:$F$953,$H21&amp;"")&amp;"="&amp;SUMIFS('Исходные данные'!$J$2:$J$953,'Исходные данные'!$D$2:$D$953,U$3,'Исходные данные'!$F$2:$F$953,$H21&amp;""),SUMIFS('Исходные данные'!$I$2:$I$953,'Исходные данные'!$D$2:$D$953,U$3,'Исходные данные'!$F$2:$F$953,$H21&amp;"")&amp;"+"&amp;SUMIFS('Исходные данные'!$J$2:$J$953,'Исходные данные'!$D$2:$D$953,U$3,'Исходные данные'!$F$2:$F$953,$H21&amp;"")&amp;"="&amp;(SUMIFS('Исходные данные'!$I$2:$I$953,'Исходные данные'!$D$2:$D$953,U$3,'Исходные данные'!$F$2:$F$953,$H21&amp;"")+SUMIFS('Исходные данные'!$J$2:$J$953,'Исходные данные'!$D$2:$D$953,U$3,'Исходные данные'!$F$2:$F$953,$H21&amp;"")))))</f>
        <v/>
      </c>
      <c r="V21" s="36">
        <f>IF(SUMIFS('Исходные данные'!$I$2:$I$953,'Исходные данные'!$D$2:$D$953,V$3,'Исходные данные'!$F$2:$F$953,$H21&amp;"")+SUMIFS('Исходные данные'!$J$2:$J$953,'Исходные данные'!$D$2:$D$953,V$3,'Исходные данные'!$F$2:$F$953,$H21&amp;"")=0,"",IF(SUMIFS('Исходные данные'!$J$2:$J$953,'Исходные данные'!$D$2:$D$953,V$3,'Исходные данные'!$F$2:$F$953,$H21&amp;"")=0,SUMIFS('Исходные данные'!$I$2:$I$953,'Исходные данные'!$D$2:$D$953,V$3,'Исходные данные'!$F$2:$F$953,$H21&amp;""),IF(SUMIFS('Исходные данные'!$I$2:$I$953,'Исходные данные'!$D$2:$D$953,V$3,'Исходные данные'!$F$2:$F$953,$H21&amp;"")=0,"0+"&amp;SUMIFS('Исходные данные'!$J$2:$J$953,'Исходные данные'!$D$2:$D$953,V$3,'Исходные данные'!$F$2:$F$953,$H21&amp;"")&amp;"="&amp;SUMIFS('Исходные данные'!$J$2:$J$953,'Исходные данные'!$D$2:$D$953,V$3,'Исходные данные'!$F$2:$F$953,$H21&amp;""),SUMIFS('Исходные данные'!$I$2:$I$953,'Исходные данные'!$D$2:$D$953,V$3,'Исходные данные'!$F$2:$F$953,$H21&amp;"")&amp;"+"&amp;SUMIFS('Исходные данные'!$J$2:$J$953,'Исходные данные'!$D$2:$D$953,V$3,'Исходные данные'!$F$2:$F$953,$H21&amp;"")&amp;"="&amp;(SUMIFS('Исходные данные'!$I$2:$I$953,'Исходные данные'!$D$2:$D$953,V$3,'Исходные данные'!$F$2:$F$953,$H21&amp;"")+SUMIFS('Исходные данные'!$J$2:$J$953,'Исходные данные'!$D$2:$D$953,V$3,'Исходные данные'!$F$2:$F$953,$H21&amp;"")))))</f>
        <v/>
      </c>
      <c r="W21" s="37">
        <f>IF(SUMIFS('Исходные данные'!$I$2:$I$953,'Исходные данные'!$D$2:$D$953,W$3,'Исходные данные'!$F$2:$F$953,$H21&amp;"")+SUMIFS('Исходные данные'!$J$2:$J$953,'Исходные данные'!$D$2:$D$953,W$3,'Исходные данные'!$F$2:$F$953,$H21&amp;"")=0,"",IF(SUMIFS('Исходные данные'!$J$2:$J$953,'Исходные данные'!$D$2:$D$953,W$3,'Исходные данные'!$F$2:$F$953,$H21&amp;"")=0,SUMIFS('Исходные данные'!$I$2:$I$953,'Исходные данные'!$D$2:$D$953,W$3,'Исходные данные'!$F$2:$F$953,$H21&amp;""),IF(SUMIFS('Исходные данные'!$I$2:$I$953,'Исходные данные'!$D$2:$D$953,W$3,'Исходные данные'!$F$2:$F$953,$H21&amp;"")=0,"0+"&amp;SUMIFS('Исходные данные'!$J$2:$J$953,'Исходные данные'!$D$2:$D$953,W$3,'Исходные данные'!$F$2:$F$953,$H21&amp;"")&amp;"="&amp;SUMIFS('Исходные данные'!$J$2:$J$953,'Исходные данные'!$D$2:$D$953,W$3,'Исходные данные'!$F$2:$F$953,$H21&amp;""),SUMIFS('Исходные данные'!$I$2:$I$953,'Исходные данные'!$D$2:$D$953,W$3,'Исходные данные'!$F$2:$F$953,$H21&amp;"")&amp;"+"&amp;SUMIFS('Исходные данные'!$J$2:$J$953,'Исходные данные'!$D$2:$D$953,W$3,'Исходные данные'!$F$2:$F$953,$H21&amp;"")&amp;"="&amp;(SUMIFS('Исходные данные'!$I$2:$I$953,'Исходные данные'!$D$2:$D$953,W$3,'Исходные данные'!$F$2:$F$953,$H21&amp;"")+SUMIFS('Исходные данные'!$J$2:$J$953,'Исходные данные'!$D$2:$D$953,W$3,'Исходные данные'!$F$2:$F$953,$H21&amp;"")))))</f>
        <v/>
      </c>
      <c r="X21" s="37">
        <f>IF(SUMIFS('Исходные данные'!$I$2:$I$953,'Исходные данные'!$D$2:$D$953,X$3,'Исходные данные'!$F$2:$F$953,$H21&amp;"")+SUMIFS('Исходные данные'!$J$2:$J$953,'Исходные данные'!$D$2:$D$953,X$3,'Исходные данные'!$F$2:$F$953,$H21&amp;"")=0,"",IF(SUMIFS('Исходные данные'!$J$2:$J$953,'Исходные данные'!$D$2:$D$953,X$3,'Исходные данные'!$F$2:$F$953,$H21&amp;"")=0,SUMIFS('Исходные данные'!$I$2:$I$953,'Исходные данные'!$D$2:$D$953,X$3,'Исходные данные'!$F$2:$F$953,$H21&amp;""),IF(SUMIFS('Исходные данные'!$I$2:$I$953,'Исходные данные'!$D$2:$D$953,X$3,'Исходные данные'!$F$2:$F$953,$H21&amp;"")=0,"0+"&amp;SUMIFS('Исходные данные'!$J$2:$J$953,'Исходные данные'!$D$2:$D$953,X$3,'Исходные данные'!$F$2:$F$953,$H21&amp;"")&amp;"="&amp;SUMIFS('Исходные данные'!$J$2:$J$953,'Исходные данные'!$D$2:$D$953,X$3,'Исходные данные'!$F$2:$F$953,$H21&amp;""),SUMIFS('Исходные данные'!$I$2:$I$953,'Исходные данные'!$D$2:$D$953,X$3,'Исходные данные'!$F$2:$F$953,$H21&amp;"")&amp;"+"&amp;SUMIFS('Исходные данные'!$J$2:$J$953,'Исходные данные'!$D$2:$D$953,X$3,'Исходные данные'!$F$2:$F$953,$H21&amp;"")&amp;"="&amp;(SUMIFS('Исходные данные'!$I$2:$I$953,'Исходные данные'!$D$2:$D$953,X$3,'Исходные данные'!$F$2:$F$953,$H21&amp;"")+SUMIFS('Исходные данные'!$J$2:$J$953,'Исходные данные'!$D$2:$D$953,X$3,'Исходные данные'!$F$2:$F$953,$H21&amp;"")))))</f>
        <v/>
      </c>
      <c r="Y21" s="39">
        <f>IF(SUMIFS('Исходные данные'!$I$2:$I$953,'Исходные данные'!$D$2:$D$953,Y$3,'Исходные данные'!$F$2:$F$953,$H21&amp;"")+SUMIFS('Исходные данные'!$J$2:$J$953,'Исходные данные'!$D$2:$D$953,Y$3,'Исходные данные'!$F$2:$F$953,$H21&amp;"")=0,"",IF(SUMIFS('Исходные данные'!$J$2:$J$953,'Исходные данные'!$D$2:$D$953,Y$3,'Исходные данные'!$F$2:$F$953,$H21&amp;"")=0,SUMIFS('Исходные данные'!$I$2:$I$953,'Исходные данные'!$D$2:$D$953,Y$3,'Исходные данные'!$F$2:$F$953,$H21&amp;""),IF(SUMIFS('Исходные данные'!$I$2:$I$953,'Исходные данные'!$D$2:$D$953,Y$3,'Исходные данные'!$F$2:$F$953,$H21&amp;"")=0,"0+"&amp;SUMIFS('Исходные данные'!$J$2:$J$953,'Исходные данные'!$D$2:$D$953,Y$3,'Исходные данные'!$F$2:$F$953,$H21&amp;"")&amp;"="&amp;SUMIFS('Исходные данные'!$J$2:$J$953,'Исходные данные'!$D$2:$D$953,Y$3,'Исходные данные'!$F$2:$F$953,$H21&amp;""),SUMIFS('Исходные данные'!$I$2:$I$953,'Исходные данные'!$D$2:$D$953,Y$3,'Исходные данные'!$F$2:$F$953,$H21&amp;"")&amp;"+"&amp;SUMIFS('Исходные данные'!$J$2:$J$953,'Исходные данные'!$D$2:$D$953,Y$3,'Исходные данные'!$F$2:$F$953,$H21&amp;"")&amp;"="&amp;(SUMIFS('Исходные данные'!$I$2:$I$953,'Исходные данные'!$D$2:$D$953,Y$3,'Исходные данные'!$F$2:$F$953,$H21&amp;"")+SUMIFS('Исходные данные'!$J$2:$J$953,'Исходные данные'!$D$2:$D$953,Y$3,'Исходные данные'!$F$2:$F$953,$H21&amp;"")))))</f>
        <v/>
      </c>
      <c r="Z21" s="36">
        <f>IF(SUMIFS('Исходные данные'!$I$2:$I$953,'Исходные данные'!$D$2:$D$953,Z$3,'Исходные данные'!$F$2:$F$953,$H21&amp;"")+SUMIFS('Исходные данные'!$J$2:$J$953,'Исходные данные'!$D$2:$D$953,Z$3,'Исходные данные'!$F$2:$F$953,$H21&amp;"")=0,"",IF(SUMIFS('Исходные данные'!$J$2:$J$953,'Исходные данные'!$D$2:$D$953,Z$3,'Исходные данные'!$F$2:$F$953,$H21&amp;"")=0,SUMIFS('Исходные данные'!$I$2:$I$953,'Исходные данные'!$D$2:$D$953,Z$3,'Исходные данные'!$F$2:$F$953,$H21&amp;""),IF(SUMIFS('Исходные данные'!$I$2:$I$953,'Исходные данные'!$D$2:$D$953,Z$3,'Исходные данные'!$F$2:$F$953,$H21&amp;"")=0,"0+"&amp;SUMIFS('Исходные данные'!$J$2:$J$953,'Исходные данные'!$D$2:$D$953,Z$3,'Исходные данные'!$F$2:$F$953,$H21&amp;"")&amp;"="&amp;SUMIFS('Исходные данные'!$J$2:$J$953,'Исходные данные'!$D$2:$D$953,Z$3,'Исходные данные'!$F$2:$F$953,$H21&amp;""),SUMIFS('Исходные данные'!$I$2:$I$953,'Исходные данные'!$D$2:$D$953,Z$3,'Исходные данные'!$F$2:$F$953,$H21&amp;"")&amp;"+"&amp;SUMIFS('Исходные данные'!$J$2:$J$953,'Исходные данные'!$D$2:$D$953,Z$3,'Исходные данные'!$F$2:$F$953,$H21&amp;"")&amp;"="&amp;(SUMIFS('Исходные данные'!$I$2:$I$953,'Исходные данные'!$D$2:$D$953,Z$3,'Исходные данные'!$F$2:$F$953,$H21&amp;"")+SUMIFS('Исходные данные'!$J$2:$J$953,'Исходные данные'!$D$2:$D$953,Z$3,'Исходные данные'!$F$2:$F$953,$H21&amp;"")))))</f>
        <v/>
      </c>
      <c r="AA21" s="37">
        <f>IF(SUMIFS('Исходные данные'!$I$2:$I$953,'Исходные данные'!$D$2:$D$953,AA$3,'Исходные данные'!$F$2:$F$953,$H21&amp;"")+SUMIFS('Исходные данные'!$J$2:$J$953,'Исходные данные'!$D$2:$D$953,AA$3,'Исходные данные'!$F$2:$F$953,$H21&amp;"")=0,"",IF(SUMIFS('Исходные данные'!$J$2:$J$953,'Исходные данные'!$D$2:$D$953,AA$3,'Исходные данные'!$F$2:$F$953,$H21&amp;"")=0,SUMIFS('Исходные данные'!$I$2:$I$953,'Исходные данные'!$D$2:$D$953,AA$3,'Исходные данные'!$F$2:$F$953,$H21&amp;""),IF(SUMIFS('Исходные данные'!$I$2:$I$953,'Исходные данные'!$D$2:$D$953,AA$3,'Исходные данные'!$F$2:$F$953,$H21&amp;"")=0,"0+"&amp;SUMIFS('Исходные данные'!$J$2:$J$953,'Исходные данные'!$D$2:$D$953,AA$3,'Исходные данные'!$F$2:$F$953,$H21&amp;"")&amp;"="&amp;SUMIFS('Исходные данные'!$J$2:$J$953,'Исходные данные'!$D$2:$D$953,AA$3,'Исходные данные'!$F$2:$F$953,$H21&amp;""),SUMIFS('Исходные данные'!$I$2:$I$953,'Исходные данные'!$D$2:$D$953,AA$3,'Исходные данные'!$F$2:$F$953,$H21&amp;"")&amp;"+"&amp;SUMIFS('Исходные данные'!$J$2:$J$953,'Исходные данные'!$D$2:$D$953,AA$3,'Исходные данные'!$F$2:$F$953,$H21&amp;"")&amp;"="&amp;(SUMIFS('Исходные данные'!$I$2:$I$953,'Исходные данные'!$D$2:$D$953,AA$3,'Исходные данные'!$F$2:$F$953,$H21&amp;"")+SUMIFS('Исходные данные'!$J$2:$J$953,'Исходные данные'!$D$2:$D$953,AA$3,'Исходные данные'!$F$2:$F$953,$H21&amp;"")))))</f>
        <v/>
      </c>
      <c r="AB21" s="37" t="n"/>
      <c r="AC21" s="36">
        <f>IF(SUMIFS('Исходные данные'!$I$2:$I$953,'Исходные данные'!$D$2:$D$953,AC$3,'Исходные данные'!$F$2:$F$953,$H21&amp;"")+SUMIFS('Исходные данные'!$J$2:$J$953,'Исходные данные'!$D$2:$D$953,AC$3,'Исходные данные'!$F$2:$F$953,$H21&amp;"")=0,"",IF(SUMIFS('Исходные данные'!$J$2:$J$953,'Исходные данные'!$D$2:$D$953,AC$3,'Исходные данные'!$F$2:$F$953,$H21&amp;"")=0,SUMIFS('Исходные данные'!$I$2:$I$953,'Исходные данные'!$D$2:$D$953,AC$3,'Исходные данные'!$F$2:$F$953,$H21&amp;""),IF(SUMIFS('Исходные данные'!$I$2:$I$953,'Исходные данные'!$D$2:$D$953,AC$3,'Исходные данные'!$F$2:$F$953,$H21&amp;"")=0,"0+"&amp;SUMIFS('Исходные данные'!$J$2:$J$953,'Исходные данные'!$D$2:$D$953,AC$3,'Исходные данные'!$F$2:$F$953,$H21&amp;"")&amp;"="&amp;SUMIFS('Исходные данные'!$J$2:$J$953,'Исходные данные'!$D$2:$D$953,AC$3,'Исходные данные'!$F$2:$F$953,$H21&amp;""),SUMIFS('Исходные данные'!$I$2:$I$953,'Исходные данные'!$D$2:$D$953,AC$3,'Исходные данные'!$F$2:$F$953,$H21&amp;"")&amp;"+"&amp;SUMIFS('Исходные данные'!$J$2:$J$953,'Исходные данные'!$D$2:$D$953,AC$3,'Исходные данные'!$F$2:$F$953,$H21&amp;"")&amp;"="&amp;(SUMIFS('Исходные данные'!$I$2:$I$953,'Исходные данные'!$D$2:$D$953,AC$3,'Исходные данные'!$F$2:$F$953,$H21&amp;"")+SUMIFS('Исходные данные'!$J$2:$J$953,'Исходные данные'!$D$2:$D$953,AC$3,'Исходные данные'!$F$2:$F$953,$H21&amp;"")))))</f>
        <v/>
      </c>
      <c r="AD21" s="37">
        <f>IF(SUMIFS('Исходные данные'!$I$2:$I$953,'Исходные данные'!$D$2:$D$953,AD$3,'Исходные данные'!$F$2:$F$953,$H21&amp;"")+SUMIFS('Исходные данные'!$J$2:$J$953,'Исходные данные'!$D$2:$D$953,AD$3,'Исходные данные'!$F$2:$F$953,$H21&amp;"")=0,"",IF(SUMIFS('Исходные данные'!$J$2:$J$953,'Исходные данные'!$D$2:$D$953,AD$3,'Исходные данные'!$F$2:$F$953,$H21&amp;"")=0,SUMIFS('Исходные данные'!$I$2:$I$953,'Исходные данные'!$D$2:$D$953,AD$3,'Исходные данные'!$F$2:$F$953,$H21&amp;""),IF(SUMIFS('Исходные данные'!$I$2:$I$953,'Исходные данные'!$D$2:$D$953,AD$3,'Исходные данные'!$F$2:$F$953,$H21&amp;"")=0,"0+"&amp;SUMIFS('Исходные данные'!$J$2:$J$953,'Исходные данные'!$D$2:$D$953,AD$3,'Исходные данные'!$F$2:$F$953,$H21&amp;"")&amp;"="&amp;SUMIFS('Исходные данные'!$J$2:$J$953,'Исходные данные'!$D$2:$D$953,AD$3,'Исходные данные'!$F$2:$F$953,$H21&amp;""),SUMIFS('Исходные данные'!$I$2:$I$953,'Исходные данные'!$D$2:$D$953,AD$3,'Исходные данные'!$F$2:$F$953,$H21&amp;"")&amp;"+"&amp;SUMIFS('Исходные данные'!$J$2:$J$953,'Исходные данные'!$D$2:$D$953,AD$3,'Исходные данные'!$F$2:$F$953,$H21&amp;"")&amp;"="&amp;(SUMIFS('Исходные данные'!$I$2:$I$953,'Исходные данные'!$D$2:$D$953,AD$3,'Исходные данные'!$F$2:$F$953,$H21&amp;"")+SUMIFS('Исходные данные'!$J$2:$J$953,'Исходные данные'!$D$2:$D$953,AD$3,'Исходные данные'!$F$2:$F$953,$H21&amp;"")))))</f>
        <v/>
      </c>
    </row>
    <row r="22" ht="25.5" customHeight="1">
      <c r="A22" s="34" t="n">
        <v>18</v>
      </c>
      <c r="B22" s="95" t="n"/>
      <c r="C22" s="117" t="n"/>
      <c r="D22" s="118" t="n"/>
      <c r="E22" s="117" t="n"/>
      <c r="F22" s="117" t="n"/>
      <c r="G22" s="102" t="n"/>
      <c r="H22" s="56" t="n"/>
      <c r="I22" s="41" t="n"/>
      <c r="J22" s="73" t="n"/>
      <c r="K22" s="67" t="n"/>
      <c r="L22" s="85" t="n"/>
      <c r="M22" s="79" t="n"/>
      <c r="N22" s="79" t="n"/>
      <c r="O22" s="42">
        <f>IF(SUMIFS('Исходные данные'!$I$2:$I$953,'Исходные данные'!$D$2:$D$953,O$3,'Исходные данные'!$F$2:$F$953,$H23&amp;"",'Исходные данные'!$L$2:$L$953,"УТТ")+SUMIFS('Исходные данные'!$J$2:$J$953,'Исходные данные'!$D$2:$D$953,O$3,'Исходные данные'!$F$2:$F$953,$H23&amp;"",'Исходные данные'!$L$2:$L$953,"УТТ")=0,"","утт-"&amp;(SUMIFS('Исходные данные'!$I$2:$I$953,'Исходные данные'!$D$2:$D$953,O$3,'Исходные данные'!$F$2:$F$953,$H23&amp;"",'Исходные данные'!$L$2:$L$953,"УТТ")+SUMIFS('Исходные данные'!$J$2:$J$953,'Исходные данные'!$D$2:$D$953,O$3,'Исходные данные'!$F$2:$F$953,$H23&amp;"",'Исходные данные'!$L$2:$L$953,"УТТ")))</f>
        <v/>
      </c>
      <c r="P22" s="43">
        <f>IF(SUMIFS('Исходные данные'!$I$2:$I$953,'Исходные данные'!$D$2:$D$953,P$3,'Исходные данные'!$F$2:$F$953,$H23&amp;"",'Исходные данные'!$L$2:$L$953,"УТТ")+SUMIFS('Исходные данные'!$J$2:$J$953,'Исходные данные'!$D$2:$D$953,P$3,'Исходные данные'!$F$2:$F$953,$H23&amp;"",'Исходные данные'!$L$2:$L$953,"УТТ")=0,"","утт-"&amp;(SUMIFS('Исходные данные'!$I$2:$I$953,'Исходные данные'!$D$2:$D$953,P$3,'Исходные данные'!$F$2:$F$953,$H23&amp;"",'Исходные данные'!$L$2:$L$953,"УТТ")+SUMIFS('Исходные данные'!$J$2:$J$953,'Исходные данные'!$D$2:$D$953,P$3,'Исходные данные'!$F$2:$F$953,$H23&amp;"",'Исходные данные'!$L$2:$L$953,"УТТ")))</f>
        <v/>
      </c>
      <c r="Q22" s="42">
        <f>IF(SUMIFS('Исходные данные'!$I$2:$I$953,'Исходные данные'!$D$2:$D$953,Q$3,'Исходные данные'!$F$2:$F$953,$H23&amp;"",'Исходные данные'!$L$2:$L$953,"УТТ")+SUMIFS('Исходные данные'!$J$2:$J$953,'Исходные данные'!$D$2:$D$953,Q$3,'Исходные данные'!$F$2:$F$953,$H23&amp;"",'Исходные данные'!$L$2:$L$953,"УТТ")=0,"","утт-"&amp;(SUMIFS('Исходные данные'!$I$2:$I$953,'Исходные данные'!$D$2:$D$953,Q$3,'Исходные данные'!$F$2:$F$953,$H23&amp;"",'Исходные данные'!$L$2:$L$953,"УТТ")+SUMIFS('Исходные данные'!$J$2:$J$953,'Исходные данные'!$D$2:$D$953,Q$3,'Исходные данные'!$F$2:$F$953,$H23&amp;"",'Исходные данные'!$L$2:$L$953,"УТТ")))</f>
        <v/>
      </c>
      <c r="R22" s="44">
        <f>IF(SUMIFS('Исходные данные'!$I$2:$I$953,'Исходные данные'!$D$2:$D$953,R$3,'Исходные данные'!$F$2:$F$953,$H23&amp;"",'Исходные данные'!$L$2:$L$953,"УТТ")+SUMIFS('Исходные данные'!$J$2:$J$953,'Исходные данные'!$D$2:$D$953,R$3,'Исходные данные'!$F$2:$F$953,$H23&amp;"",'Исходные данные'!$L$2:$L$953,"УТТ")=0,"","утт-"&amp;(SUMIFS('Исходные данные'!$I$2:$I$953,'Исходные данные'!$D$2:$D$953,R$3,'Исходные данные'!$F$2:$F$953,$H23&amp;"",'Исходные данные'!$L$2:$L$953,"УТТ")+SUMIFS('Исходные данные'!$J$2:$J$953,'Исходные данные'!$D$2:$D$953,R$3,'Исходные данные'!$F$2:$F$953,$H23&amp;"",'Исходные данные'!$L$2:$L$953,"УТТ")))</f>
        <v/>
      </c>
      <c r="S22" s="43">
        <f>IF(SUMIFS('Исходные данные'!$I$2:$I$953,'Исходные данные'!$D$2:$D$953,S$3,'Исходные данные'!$F$2:$F$953,$H23&amp;"",'Исходные данные'!$L$2:$L$953,"УТТ")+SUMIFS('Исходные данные'!$J$2:$J$953,'Исходные данные'!$D$2:$D$953,S$3,'Исходные данные'!$F$2:$F$953,$H23&amp;"",'Исходные данные'!$L$2:$L$953,"УТТ")=0,"","утт-"&amp;(SUMIFS('Исходные данные'!$I$2:$I$953,'Исходные данные'!$D$2:$D$953,S$3,'Исходные данные'!$F$2:$F$953,$H23&amp;"",'Исходные данные'!$L$2:$L$953,"УТТ")+SUMIFS('Исходные данные'!$J$2:$J$953,'Исходные данные'!$D$2:$D$953,S$3,'Исходные данные'!$F$2:$F$953,$H23&amp;"",'Исходные данные'!$L$2:$L$953,"УТТ")))</f>
        <v/>
      </c>
      <c r="T22" s="42">
        <f>IF(SUMIFS('Исходные данные'!$I$2:$I$953,'Исходные данные'!$D$2:$D$953,T$3,'Исходные данные'!$F$2:$F$953,$H23&amp;"",'Исходные данные'!$L$2:$L$953,"УТТ")+SUMIFS('Исходные данные'!$J$2:$J$953,'Исходные данные'!$D$2:$D$953,T$3,'Исходные данные'!$F$2:$F$953,$H23&amp;"",'Исходные данные'!$L$2:$L$953,"УТТ")=0,"","утт-"&amp;(SUMIFS('Исходные данные'!$I$2:$I$953,'Исходные данные'!$D$2:$D$953,T$3,'Исходные данные'!$F$2:$F$953,$H23&amp;"",'Исходные данные'!$L$2:$L$953,"УТТ")+SUMIFS('Исходные данные'!$J$2:$J$953,'Исходные данные'!$D$2:$D$953,T$3,'Исходные данные'!$F$2:$F$953,$H23&amp;"",'Исходные данные'!$L$2:$L$953,"УТТ")))</f>
        <v/>
      </c>
      <c r="U22" s="43">
        <f>IF(SUMIFS('Исходные данные'!$I$2:$I$953,'Исходные данные'!$D$2:$D$953,U$3,'Исходные данные'!$F$2:$F$953,$H23&amp;"",'Исходные данные'!$L$2:$L$953,"УТТ")+SUMIFS('Исходные данные'!$J$2:$J$953,'Исходные данные'!$D$2:$D$953,U$3,'Исходные данные'!$F$2:$F$953,$H23&amp;"",'Исходные данные'!$L$2:$L$953,"УТТ")=0,"","утт-"&amp;(SUMIFS('Исходные данные'!$I$2:$I$953,'Исходные данные'!$D$2:$D$953,U$3,'Исходные данные'!$F$2:$F$953,$H23&amp;"",'Исходные данные'!$L$2:$L$953,"УТТ")+SUMIFS('Исходные данные'!$J$2:$J$953,'Исходные данные'!$D$2:$D$953,U$3,'Исходные данные'!$F$2:$F$953,$H23&amp;"",'Исходные данные'!$L$2:$L$953,"УТТ")))</f>
        <v/>
      </c>
      <c r="V22" s="42">
        <f>IF(SUMIFS('Исходные данные'!$I$2:$I$953,'Исходные данные'!$D$2:$D$953,V$3,'Исходные данные'!$F$2:$F$953,$H23&amp;"",'Исходные данные'!$L$2:$L$953,"УТТ")+SUMIFS('Исходные данные'!$J$2:$J$953,'Исходные данные'!$D$2:$D$953,V$3,'Исходные данные'!$F$2:$F$953,$H23&amp;"",'Исходные данные'!$L$2:$L$953,"УТТ")=0,"","утт-"&amp;(SUMIFS('Исходные данные'!$I$2:$I$953,'Исходные данные'!$D$2:$D$953,V$3,'Исходные данные'!$F$2:$F$953,$H23&amp;"",'Исходные данные'!$L$2:$L$953,"УТТ")+SUMIFS('Исходные данные'!$J$2:$J$953,'Исходные данные'!$D$2:$D$953,V$3,'Исходные данные'!$F$2:$F$953,$H23&amp;"",'Исходные данные'!$L$2:$L$953,"УТТ")))</f>
        <v/>
      </c>
      <c r="W22" s="43">
        <f>IF(SUMIFS('Исходные данные'!$I$2:$I$953,'Исходные данные'!$D$2:$D$953,W$3,'Исходные данные'!$F$2:$F$953,$H23&amp;"",'Исходные данные'!$L$2:$L$953,"УТТ")+SUMIFS('Исходные данные'!$J$2:$J$953,'Исходные данные'!$D$2:$D$953,W$3,'Исходные данные'!$F$2:$F$953,$H23&amp;"",'Исходные данные'!$L$2:$L$953,"УТТ")=0,"","утт-"&amp;(SUMIFS('Исходные данные'!$I$2:$I$953,'Исходные данные'!$D$2:$D$953,W$3,'Исходные данные'!$F$2:$F$953,$H23&amp;"",'Исходные данные'!$L$2:$L$953,"УТТ")+SUMIFS('Исходные данные'!$J$2:$J$953,'Исходные данные'!$D$2:$D$953,W$3,'Исходные данные'!$F$2:$F$953,$H23&amp;"",'Исходные данные'!$L$2:$L$953,"УТТ")))</f>
        <v/>
      </c>
      <c r="X22" s="43">
        <f>IF(SUMIFS('Исходные данные'!$I$2:$I$953,'Исходные данные'!$D$2:$D$953,X$3,'Исходные данные'!$F$2:$F$953,$H23&amp;"",'Исходные данные'!$L$2:$L$953,"УТТ")+SUMIFS('Исходные данные'!$J$2:$J$953,'Исходные данные'!$D$2:$D$953,X$3,'Исходные данные'!$F$2:$F$953,$H23&amp;"",'Исходные данные'!$L$2:$L$953,"УТТ")=0,"","утт-"&amp;(SUMIFS('Исходные данные'!$I$2:$I$953,'Исходные данные'!$D$2:$D$953,X$3,'Исходные данные'!$F$2:$F$953,$H23&amp;"",'Исходные данные'!$L$2:$L$953,"УТТ")+SUMIFS('Исходные данные'!$J$2:$J$953,'Исходные данные'!$D$2:$D$953,X$3,'Исходные данные'!$F$2:$F$953,$H23&amp;"",'Исходные данные'!$L$2:$L$953,"УТТ")))</f>
        <v/>
      </c>
      <c r="Y22" s="45">
        <f>IF(SUMIFS('Исходные данные'!$I$2:$I$953,'Исходные данные'!$D$2:$D$953,Y$3,'Исходные данные'!$F$2:$F$953,$H23&amp;"",'Исходные данные'!$L$2:$L$953,"УТТ")+SUMIFS('Исходные данные'!$J$2:$J$953,'Исходные данные'!$D$2:$D$953,Y$3,'Исходные данные'!$F$2:$F$953,$H23&amp;"",'Исходные данные'!$L$2:$L$953,"УТТ")=0,"","утт-"&amp;(SUMIFS('Исходные данные'!$I$2:$I$953,'Исходные данные'!$D$2:$D$953,Y$3,'Исходные данные'!$F$2:$F$953,$H23&amp;"",'Исходные данные'!$L$2:$L$953,"УТТ")+SUMIFS('Исходные данные'!$J$2:$J$953,'Исходные данные'!$D$2:$D$953,Y$3,'Исходные данные'!$F$2:$F$953,$H23&amp;"",'Исходные данные'!$L$2:$L$953,"УТТ")))</f>
        <v/>
      </c>
      <c r="Z22" s="42">
        <f>IF(SUMIFS('Исходные данные'!$I$2:$I$953,'Исходные данные'!$D$2:$D$953,Z$3,'Исходные данные'!$F$2:$F$953,$H23&amp;"",'Исходные данные'!$L$2:$L$953,"УТТ")+SUMIFS('Исходные данные'!$J$2:$J$953,'Исходные данные'!$D$2:$D$953,Z$3,'Исходные данные'!$F$2:$F$953,$H23&amp;"",'Исходные данные'!$L$2:$L$953,"УТТ")=0,"","утт-"&amp;(SUMIFS('Исходные данные'!$I$2:$I$953,'Исходные данные'!$D$2:$D$953,Z$3,'Исходные данные'!$F$2:$F$953,$H23&amp;"",'Исходные данные'!$L$2:$L$953,"УТТ")+SUMIFS('Исходные данные'!$J$2:$J$953,'Исходные данные'!$D$2:$D$953,Z$3,'Исходные данные'!$F$2:$F$953,$H23&amp;"",'Исходные данные'!$L$2:$L$953,"УТТ")))</f>
        <v/>
      </c>
      <c r="AA22" s="43">
        <f>IF(SUMIFS('Исходные данные'!$I$2:$I$953,'Исходные данные'!$D$2:$D$953,AA$3,'Исходные данные'!$F$2:$F$953,$H23&amp;"",'Исходные данные'!$L$2:$L$953,"УТТ")+SUMIFS('Исходные данные'!$J$2:$J$953,'Исходные данные'!$D$2:$D$953,AA$3,'Исходные данные'!$F$2:$F$953,$H23&amp;"",'Исходные данные'!$L$2:$L$953,"УТТ")=0,"","утт-"&amp;(SUMIFS('Исходные данные'!$I$2:$I$953,'Исходные данные'!$D$2:$D$953,AA$3,'Исходные данные'!$F$2:$F$953,$H23&amp;"",'Исходные данные'!$L$2:$L$953,"УТТ")+SUMIFS('Исходные данные'!$J$2:$J$953,'Исходные данные'!$D$2:$D$953,AA$3,'Исходные данные'!$F$2:$F$953,$H23&amp;"",'Исходные данные'!$L$2:$L$953,"УТТ")))</f>
        <v/>
      </c>
      <c r="AB22" s="43" t="n"/>
      <c r="AC22" s="42">
        <f>IF(SUMIFS('Исходные данные'!$I$2:$I$953,'Исходные данные'!$D$2:$D$953,AC$3,'Исходные данные'!$F$2:$F$953,$H23&amp;"",'Исходные данные'!$L$2:$L$953,"УТТ")+SUMIFS('Исходные данные'!$J$2:$J$953,'Исходные данные'!$D$2:$D$953,AC$3,'Исходные данные'!$F$2:$F$953,$H23&amp;"",'Исходные данные'!$L$2:$L$953,"УТТ")=0,"","утт-"&amp;(SUMIFS('Исходные данные'!$I$2:$I$953,'Исходные данные'!$D$2:$D$953,AC$3,'Исходные данные'!$F$2:$F$953,$H23&amp;"",'Исходные данные'!$L$2:$L$953,"УТТ")+SUMIFS('Исходные данные'!$J$2:$J$953,'Исходные данные'!$D$2:$D$953,AC$3,'Исходные данные'!$F$2:$F$953,$H23&amp;"",'Исходные данные'!$L$2:$L$953,"УТТ")))</f>
        <v/>
      </c>
      <c r="AD22" s="43">
        <f>IF(SUMIFS('Исходные данные'!$I$2:$I$953,'Исходные данные'!$D$2:$D$953,AD$3,'Исходные данные'!$F$2:$F$953,$H23&amp;"",'Исходные данные'!$L$2:$L$953,"УТТ")+SUMIFS('Исходные данные'!$J$2:$J$953,'Исходные данные'!$D$2:$D$953,AD$3,'Исходные данные'!$F$2:$F$953,$H23&amp;"",'Исходные данные'!$L$2:$L$953,"УТТ")=0,"","утт-"&amp;(SUMIFS('Исходные данные'!$I$2:$I$953,'Исходные данные'!$D$2:$D$953,AD$3,'Исходные данные'!$F$2:$F$953,$H23&amp;"",'Исходные данные'!$L$2:$L$953,"УТТ")+SUMIFS('Исходные данные'!$J$2:$J$953,'Исходные данные'!$D$2:$D$953,AD$3,'Исходные данные'!$F$2:$F$953,$H23&amp;"",'Исходные данные'!$L$2:$L$953,"УТТ")))</f>
        <v/>
      </c>
    </row>
    <row r="23" ht="25.5" customHeight="1">
      <c r="A23" s="34" t="n">
        <v>19</v>
      </c>
      <c r="B23" s="95" t="n"/>
      <c r="C23" s="117" t="n"/>
      <c r="D23" s="118" t="n"/>
      <c r="E23" s="117" t="n"/>
      <c r="F23" s="117" t="n"/>
      <c r="G23" s="102" t="n"/>
      <c r="H23" s="27" t="n">
        <v>53</v>
      </c>
      <c r="I23" s="35" t="inlineStr">
        <is>
          <t>Погрузчик</t>
        </is>
      </c>
      <c r="J23" s="74">
        <f>IFERROR(INDEX('Выход ТС'!$C:$C,MATCH($H23&amp;"",'Выход ТС'!$A:$A,0)),"")</f>
        <v/>
      </c>
      <c r="K23" s="68">
        <f>IFERROR(INDEX('Выход ТС'!$D:$D,MATCH($H23&amp;"",'Выход ТС'!$A:$A,0)),"")</f>
        <v/>
      </c>
      <c r="L23" s="86">
        <f>IFERROR(INDEX('Выход ТС'!$E:$E,MATCH($H23&amp;"",'Выход ТС'!$A:$A,0)),"")</f>
        <v/>
      </c>
      <c r="M23" s="81">
        <f>IFERROR(IF(INDEX('Выход ТС'!$F:$F,MATCH($H23&amp;"",'Выход ТС'!$A:$A,0))=0,"",INDEX('Выход ТС'!$F:$F,MATCH($H23&amp;"",'Выход ТС'!$A:$A,0))),"")</f>
        <v/>
      </c>
      <c r="N23" s="81">
        <f>IFERROR(IF(INDEX('Выход ТС'!$G:$G,MATCH($H23&amp;"",'Выход ТС'!$A:$A,0))=0,"",INDEX('Выход ТС'!$G:$G,MATCH($H23&amp;"",'Выход ТС'!$A:$A,0))),"")</f>
        <v/>
      </c>
      <c r="O23" s="46">
        <f>IF(SUMIFS('Исходные данные'!$I$2:$I$953,'Исходные данные'!$D$2:$D$953,O$3,'Исходные данные'!$F$2:$F$953,$H23&amp;"")+SUMIFS('Исходные данные'!$J$2:$J$953,'Исходные данные'!$D$2:$D$953,O$3,'Исходные данные'!$F$2:$F$953,$H23&amp;"")=0,"",IF(SUMIFS('Исходные данные'!$J$2:$J$953,'Исходные данные'!$D$2:$D$953,O$3,'Исходные данные'!$F$2:$F$953,$H23&amp;"")=0,SUMIFS('Исходные данные'!$I$2:$I$953,'Исходные данные'!$D$2:$D$953,O$3,'Исходные данные'!$F$2:$F$953,$H23&amp;""),IF(SUMIFS('Исходные данные'!$I$2:$I$953,'Исходные данные'!$D$2:$D$953,O$3,'Исходные данные'!$F$2:$F$953,$H23&amp;"")=0,"0+"&amp;SUMIFS('Исходные данные'!$J$2:$J$953,'Исходные данные'!$D$2:$D$953,O$3,'Исходные данные'!$F$2:$F$953,$H23&amp;"")&amp;"="&amp;SUMIFS('Исходные данные'!$J$2:$J$953,'Исходные данные'!$D$2:$D$953,O$3,'Исходные данные'!$F$2:$F$953,$H23&amp;""),SUMIFS('Исходные данные'!$I$2:$I$953,'Исходные данные'!$D$2:$D$953,O$3,'Исходные данные'!$F$2:$F$953,$H23&amp;"")&amp;"+"&amp;SUMIFS('Исходные данные'!$J$2:$J$953,'Исходные данные'!$D$2:$D$953,O$3,'Исходные данные'!$F$2:$F$953,$H23&amp;"")&amp;"="&amp;(SUMIFS('Исходные данные'!$I$2:$I$953,'Исходные данные'!$D$2:$D$953,O$3,'Исходные данные'!$F$2:$F$953,$H23&amp;"")+SUMIFS('Исходные данные'!$J$2:$J$953,'Исходные данные'!$D$2:$D$953,O$3,'Исходные данные'!$F$2:$F$953,$H23&amp;"")))))</f>
        <v/>
      </c>
      <c r="P23" s="47">
        <f>IF(SUMIFS('Исходные данные'!$I$2:$I$953,'Исходные данные'!$D$2:$D$953,P$3,'Исходные данные'!$F$2:$F$953,$H23&amp;"")+SUMIFS('Исходные данные'!$J$2:$J$953,'Исходные данные'!$D$2:$D$953,P$3,'Исходные данные'!$F$2:$F$953,$H23&amp;"")=0,"",IF(SUMIFS('Исходные данные'!$J$2:$J$953,'Исходные данные'!$D$2:$D$953,P$3,'Исходные данные'!$F$2:$F$953,$H23&amp;"")=0,SUMIFS('Исходные данные'!$I$2:$I$953,'Исходные данные'!$D$2:$D$953,P$3,'Исходные данные'!$F$2:$F$953,$H23&amp;""),IF(SUMIFS('Исходные данные'!$I$2:$I$953,'Исходные данные'!$D$2:$D$953,P$3,'Исходные данные'!$F$2:$F$953,$H23&amp;"")=0,"0+"&amp;SUMIFS('Исходные данные'!$J$2:$J$953,'Исходные данные'!$D$2:$D$953,P$3,'Исходные данные'!$F$2:$F$953,$H23&amp;"")&amp;"="&amp;SUMIFS('Исходные данные'!$J$2:$J$953,'Исходные данные'!$D$2:$D$953,P$3,'Исходные данные'!$F$2:$F$953,$H23&amp;""),SUMIFS('Исходные данные'!$I$2:$I$953,'Исходные данные'!$D$2:$D$953,P$3,'Исходные данные'!$F$2:$F$953,$H23&amp;"")&amp;"+"&amp;SUMIFS('Исходные данные'!$J$2:$J$953,'Исходные данные'!$D$2:$D$953,P$3,'Исходные данные'!$F$2:$F$953,$H23&amp;"")&amp;"="&amp;(SUMIFS('Исходные данные'!$I$2:$I$953,'Исходные данные'!$D$2:$D$953,P$3,'Исходные данные'!$F$2:$F$953,$H23&amp;"")+SUMIFS('Исходные данные'!$J$2:$J$953,'Исходные данные'!$D$2:$D$953,P$3,'Исходные данные'!$F$2:$F$953,$H23&amp;"")))))</f>
        <v/>
      </c>
      <c r="Q23" s="46">
        <f>IF(SUMIFS('Исходные данные'!$I$2:$I$953,'Исходные данные'!$D$2:$D$953,Q$3,'Исходные данные'!$F$2:$F$953,$H23&amp;"")+SUMIFS('Исходные данные'!$J$2:$J$953,'Исходные данные'!$D$2:$D$953,Q$3,'Исходные данные'!$F$2:$F$953,$H23&amp;"")=0,"",IF(SUMIFS('Исходные данные'!$J$2:$J$953,'Исходные данные'!$D$2:$D$953,Q$3,'Исходные данные'!$F$2:$F$953,$H23&amp;"")=0,SUMIFS('Исходные данные'!$I$2:$I$953,'Исходные данные'!$D$2:$D$953,Q$3,'Исходные данные'!$F$2:$F$953,$H23&amp;""),IF(SUMIFS('Исходные данные'!$I$2:$I$953,'Исходные данные'!$D$2:$D$953,Q$3,'Исходные данные'!$F$2:$F$953,$H23&amp;"")=0,"0+"&amp;SUMIFS('Исходные данные'!$J$2:$J$953,'Исходные данные'!$D$2:$D$953,Q$3,'Исходные данные'!$F$2:$F$953,$H23&amp;"")&amp;"="&amp;SUMIFS('Исходные данные'!$J$2:$J$953,'Исходные данные'!$D$2:$D$953,Q$3,'Исходные данные'!$F$2:$F$953,$H23&amp;""),SUMIFS('Исходные данные'!$I$2:$I$953,'Исходные данные'!$D$2:$D$953,Q$3,'Исходные данные'!$F$2:$F$953,$H23&amp;"")&amp;"+"&amp;SUMIFS('Исходные данные'!$J$2:$J$953,'Исходные данные'!$D$2:$D$953,Q$3,'Исходные данные'!$F$2:$F$953,$H23&amp;"")&amp;"="&amp;(SUMIFS('Исходные данные'!$I$2:$I$953,'Исходные данные'!$D$2:$D$953,Q$3,'Исходные данные'!$F$2:$F$953,$H23&amp;"")+SUMIFS('Исходные данные'!$J$2:$J$953,'Исходные данные'!$D$2:$D$953,Q$3,'Исходные данные'!$F$2:$F$953,$H23&amp;"")))))</f>
        <v/>
      </c>
      <c r="R23" s="48">
        <f>IF(SUMIFS('Исходные данные'!$I$2:$I$953,'Исходные данные'!$D$2:$D$953,R$3,'Исходные данные'!$F$2:$F$953,$H23&amp;"")+SUMIFS('Исходные данные'!$J$2:$J$953,'Исходные данные'!$D$2:$D$953,R$3,'Исходные данные'!$F$2:$F$953,$H23&amp;"")=0,"",IF(SUMIFS('Исходные данные'!$J$2:$J$953,'Исходные данные'!$D$2:$D$953,R$3,'Исходные данные'!$F$2:$F$953,$H23&amp;"")=0,SUMIFS('Исходные данные'!$I$2:$I$953,'Исходные данные'!$D$2:$D$953,R$3,'Исходные данные'!$F$2:$F$953,$H23&amp;""),IF(SUMIFS('Исходные данные'!$I$2:$I$953,'Исходные данные'!$D$2:$D$953,R$3,'Исходные данные'!$F$2:$F$953,$H23&amp;"")=0,"0+"&amp;SUMIFS('Исходные данные'!$J$2:$J$953,'Исходные данные'!$D$2:$D$953,R$3,'Исходные данные'!$F$2:$F$953,$H23&amp;"")&amp;"="&amp;SUMIFS('Исходные данные'!$J$2:$J$953,'Исходные данные'!$D$2:$D$953,R$3,'Исходные данные'!$F$2:$F$953,$H23&amp;""),SUMIFS('Исходные данные'!$I$2:$I$953,'Исходные данные'!$D$2:$D$953,R$3,'Исходные данные'!$F$2:$F$953,$H23&amp;"")&amp;"+"&amp;SUMIFS('Исходные данные'!$J$2:$J$953,'Исходные данные'!$D$2:$D$953,R$3,'Исходные данные'!$F$2:$F$953,$H23&amp;"")&amp;"="&amp;(SUMIFS('Исходные данные'!$I$2:$I$953,'Исходные данные'!$D$2:$D$953,R$3,'Исходные данные'!$F$2:$F$953,$H23&amp;"")+SUMIFS('Исходные данные'!$J$2:$J$953,'Исходные данные'!$D$2:$D$953,R$3,'Исходные данные'!$F$2:$F$953,$H23&amp;"")))))</f>
        <v/>
      </c>
      <c r="S23" s="47">
        <f>IF(SUMIFS('Исходные данные'!$I$2:$I$953,'Исходные данные'!$D$2:$D$953,S$3,'Исходные данные'!$F$2:$F$953,$H23&amp;"")+SUMIFS('Исходные данные'!$J$2:$J$953,'Исходные данные'!$D$2:$D$953,S$3,'Исходные данные'!$F$2:$F$953,$H23&amp;"")=0,"",IF(SUMIFS('Исходные данные'!$J$2:$J$953,'Исходные данные'!$D$2:$D$953,S$3,'Исходные данные'!$F$2:$F$953,$H23&amp;"")=0,SUMIFS('Исходные данные'!$I$2:$I$953,'Исходные данные'!$D$2:$D$953,S$3,'Исходные данные'!$F$2:$F$953,$H23&amp;""),IF(SUMIFS('Исходные данные'!$I$2:$I$953,'Исходные данные'!$D$2:$D$953,S$3,'Исходные данные'!$F$2:$F$953,$H23&amp;"")=0,"0+"&amp;SUMIFS('Исходные данные'!$J$2:$J$953,'Исходные данные'!$D$2:$D$953,S$3,'Исходные данные'!$F$2:$F$953,$H23&amp;"")&amp;"="&amp;SUMIFS('Исходные данные'!$J$2:$J$953,'Исходные данные'!$D$2:$D$953,S$3,'Исходные данные'!$F$2:$F$953,$H23&amp;""),SUMIFS('Исходные данные'!$I$2:$I$953,'Исходные данные'!$D$2:$D$953,S$3,'Исходные данные'!$F$2:$F$953,$H23&amp;"")&amp;"+"&amp;SUMIFS('Исходные данные'!$J$2:$J$953,'Исходные данные'!$D$2:$D$953,S$3,'Исходные данные'!$F$2:$F$953,$H23&amp;"")&amp;"="&amp;(SUMIFS('Исходные данные'!$I$2:$I$953,'Исходные данные'!$D$2:$D$953,S$3,'Исходные данные'!$F$2:$F$953,$H23&amp;"")+SUMIFS('Исходные данные'!$J$2:$J$953,'Исходные данные'!$D$2:$D$953,S$3,'Исходные данные'!$F$2:$F$953,$H23&amp;"")))))</f>
        <v/>
      </c>
      <c r="T23" s="46">
        <f>IF(SUMIFS('Исходные данные'!$I$2:$I$953,'Исходные данные'!$D$2:$D$953,T$3,'Исходные данные'!$F$2:$F$953,$H23&amp;"")+SUMIFS('Исходные данные'!$J$2:$J$953,'Исходные данные'!$D$2:$D$953,T$3,'Исходные данные'!$F$2:$F$953,$H23&amp;"")=0,"",IF(SUMIFS('Исходные данные'!$J$2:$J$953,'Исходные данные'!$D$2:$D$953,T$3,'Исходные данные'!$F$2:$F$953,$H23&amp;"")=0,SUMIFS('Исходные данные'!$I$2:$I$953,'Исходные данные'!$D$2:$D$953,T$3,'Исходные данные'!$F$2:$F$953,$H23&amp;""),IF(SUMIFS('Исходные данные'!$I$2:$I$953,'Исходные данные'!$D$2:$D$953,T$3,'Исходные данные'!$F$2:$F$953,$H23&amp;"")=0,"0+"&amp;SUMIFS('Исходные данные'!$J$2:$J$953,'Исходные данные'!$D$2:$D$953,T$3,'Исходные данные'!$F$2:$F$953,$H23&amp;"")&amp;"="&amp;SUMIFS('Исходные данные'!$J$2:$J$953,'Исходные данные'!$D$2:$D$953,T$3,'Исходные данные'!$F$2:$F$953,$H23&amp;""),SUMIFS('Исходные данные'!$I$2:$I$953,'Исходные данные'!$D$2:$D$953,T$3,'Исходные данные'!$F$2:$F$953,$H23&amp;"")&amp;"+"&amp;SUMIFS('Исходные данные'!$J$2:$J$953,'Исходные данные'!$D$2:$D$953,T$3,'Исходные данные'!$F$2:$F$953,$H23&amp;"")&amp;"="&amp;(SUMIFS('Исходные данные'!$I$2:$I$953,'Исходные данные'!$D$2:$D$953,T$3,'Исходные данные'!$F$2:$F$953,$H23&amp;"")+SUMIFS('Исходные данные'!$J$2:$J$953,'Исходные данные'!$D$2:$D$953,T$3,'Исходные данные'!$F$2:$F$953,$H23&amp;"")))))</f>
        <v/>
      </c>
      <c r="U23" s="47">
        <f>IF(SUMIFS('Исходные данные'!$I$2:$I$953,'Исходные данные'!$D$2:$D$953,U$3,'Исходные данные'!$F$2:$F$953,$H23&amp;"")+SUMIFS('Исходные данные'!$J$2:$J$953,'Исходные данные'!$D$2:$D$953,U$3,'Исходные данные'!$F$2:$F$953,$H23&amp;"")=0,"",IF(SUMIFS('Исходные данные'!$J$2:$J$953,'Исходные данные'!$D$2:$D$953,U$3,'Исходные данные'!$F$2:$F$953,$H23&amp;"")=0,SUMIFS('Исходные данные'!$I$2:$I$953,'Исходные данные'!$D$2:$D$953,U$3,'Исходные данные'!$F$2:$F$953,$H23&amp;""),IF(SUMIFS('Исходные данные'!$I$2:$I$953,'Исходные данные'!$D$2:$D$953,U$3,'Исходные данные'!$F$2:$F$953,$H23&amp;"")=0,"0+"&amp;SUMIFS('Исходные данные'!$J$2:$J$953,'Исходные данные'!$D$2:$D$953,U$3,'Исходные данные'!$F$2:$F$953,$H23&amp;"")&amp;"="&amp;SUMIFS('Исходные данные'!$J$2:$J$953,'Исходные данные'!$D$2:$D$953,U$3,'Исходные данные'!$F$2:$F$953,$H23&amp;""),SUMIFS('Исходные данные'!$I$2:$I$953,'Исходные данные'!$D$2:$D$953,U$3,'Исходные данные'!$F$2:$F$953,$H23&amp;"")&amp;"+"&amp;SUMIFS('Исходные данные'!$J$2:$J$953,'Исходные данные'!$D$2:$D$953,U$3,'Исходные данные'!$F$2:$F$953,$H23&amp;"")&amp;"="&amp;(SUMIFS('Исходные данные'!$I$2:$I$953,'Исходные данные'!$D$2:$D$953,U$3,'Исходные данные'!$F$2:$F$953,$H23&amp;"")+SUMIFS('Исходные данные'!$J$2:$J$953,'Исходные данные'!$D$2:$D$953,U$3,'Исходные данные'!$F$2:$F$953,$H23&amp;"")))))</f>
        <v/>
      </c>
      <c r="V23" s="46">
        <f>IF(SUMIFS('Исходные данные'!$I$2:$I$953,'Исходные данные'!$D$2:$D$953,V$3,'Исходные данные'!$F$2:$F$953,$H23&amp;"")+SUMIFS('Исходные данные'!$J$2:$J$953,'Исходные данные'!$D$2:$D$953,V$3,'Исходные данные'!$F$2:$F$953,$H23&amp;"")=0,"",IF(SUMIFS('Исходные данные'!$J$2:$J$953,'Исходные данные'!$D$2:$D$953,V$3,'Исходные данные'!$F$2:$F$953,$H23&amp;"")=0,SUMIFS('Исходные данные'!$I$2:$I$953,'Исходные данные'!$D$2:$D$953,V$3,'Исходные данные'!$F$2:$F$953,$H23&amp;""),IF(SUMIFS('Исходные данные'!$I$2:$I$953,'Исходные данные'!$D$2:$D$953,V$3,'Исходные данные'!$F$2:$F$953,$H23&amp;"")=0,"0+"&amp;SUMIFS('Исходные данные'!$J$2:$J$953,'Исходные данные'!$D$2:$D$953,V$3,'Исходные данные'!$F$2:$F$953,$H23&amp;"")&amp;"="&amp;SUMIFS('Исходные данные'!$J$2:$J$953,'Исходные данные'!$D$2:$D$953,V$3,'Исходные данные'!$F$2:$F$953,$H23&amp;""),SUMIFS('Исходные данные'!$I$2:$I$953,'Исходные данные'!$D$2:$D$953,V$3,'Исходные данные'!$F$2:$F$953,$H23&amp;"")&amp;"+"&amp;SUMIFS('Исходные данные'!$J$2:$J$953,'Исходные данные'!$D$2:$D$953,V$3,'Исходные данные'!$F$2:$F$953,$H23&amp;"")&amp;"="&amp;(SUMIFS('Исходные данные'!$I$2:$I$953,'Исходные данные'!$D$2:$D$953,V$3,'Исходные данные'!$F$2:$F$953,$H23&amp;"")+SUMIFS('Исходные данные'!$J$2:$J$953,'Исходные данные'!$D$2:$D$953,V$3,'Исходные данные'!$F$2:$F$953,$H23&amp;"")))))</f>
        <v/>
      </c>
      <c r="W23" s="47">
        <f>IF(SUMIFS('Исходные данные'!$I$2:$I$953,'Исходные данные'!$D$2:$D$953,W$3,'Исходные данные'!$F$2:$F$953,$H23&amp;"")+SUMIFS('Исходные данные'!$J$2:$J$953,'Исходные данные'!$D$2:$D$953,W$3,'Исходные данные'!$F$2:$F$953,$H23&amp;"")=0,"",IF(SUMIFS('Исходные данные'!$J$2:$J$953,'Исходные данные'!$D$2:$D$953,W$3,'Исходные данные'!$F$2:$F$953,$H23&amp;"")=0,SUMIFS('Исходные данные'!$I$2:$I$953,'Исходные данные'!$D$2:$D$953,W$3,'Исходные данные'!$F$2:$F$953,$H23&amp;""),IF(SUMIFS('Исходные данные'!$I$2:$I$953,'Исходные данные'!$D$2:$D$953,W$3,'Исходные данные'!$F$2:$F$953,$H23&amp;"")=0,"0+"&amp;SUMIFS('Исходные данные'!$J$2:$J$953,'Исходные данные'!$D$2:$D$953,W$3,'Исходные данные'!$F$2:$F$953,$H23&amp;"")&amp;"="&amp;SUMIFS('Исходные данные'!$J$2:$J$953,'Исходные данные'!$D$2:$D$953,W$3,'Исходные данные'!$F$2:$F$953,$H23&amp;""),SUMIFS('Исходные данные'!$I$2:$I$953,'Исходные данные'!$D$2:$D$953,W$3,'Исходные данные'!$F$2:$F$953,$H23&amp;"")&amp;"+"&amp;SUMIFS('Исходные данные'!$J$2:$J$953,'Исходные данные'!$D$2:$D$953,W$3,'Исходные данные'!$F$2:$F$953,$H23&amp;"")&amp;"="&amp;(SUMIFS('Исходные данные'!$I$2:$I$953,'Исходные данные'!$D$2:$D$953,W$3,'Исходные данные'!$F$2:$F$953,$H23&amp;"")+SUMIFS('Исходные данные'!$J$2:$J$953,'Исходные данные'!$D$2:$D$953,W$3,'Исходные данные'!$F$2:$F$953,$H23&amp;"")))))</f>
        <v/>
      </c>
      <c r="X23" s="47">
        <f>IF(SUMIFS('Исходные данные'!$I$2:$I$953,'Исходные данные'!$D$2:$D$953,X$3,'Исходные данные'!$F$2:$F$953,$H23&amp;"")+SUMIFS('Исходные данные'!$J$2:$J$953,'Исходные данные'!$D$2:$D$953,X$3,'Исходные данные'!$F$2:$F$953,$H23&amp;"")=0,"",IF(SUMIFS('Исходные данные'!$J$2:$J$953,'Исходные данные'!$D$2:$D$953,X$3,'Исходные данные'!$F$2:$F$953,$H23&amp;"")=0,SUMIFS('Исходные данные'!$I$2:$I$953,'Исходные данные'!$D$2:$D$953,X$3,'Исходные данные'!$F$2:$F$953,$H23&amp;""),IF(SUMIFS('Исходные данные'!$I$2:$I$953,'Исходные данные'!$D$2:$D$953,X$3,'Исходные данные'!$F$2:$F$953,$H23&amp;"")=0,"0+"&amp;SUMIFS('Исходные данные'!$J$2:$J$953,'Исходные данные'!$D$2:$D$953,X$3,'Исходные данные'!$F$2:$F$953,$H23&amp;"")&amp;"="&amp;SUMIFS('Исходные данные'!$J$2:$J$953,'Исходные данные'!$D$2:$D$953,X$3,'Исходные данные'!$F$2:$F$953,$H23&amp;""),SUMIFS('Исходные данные'!$I$2:$I$953,'Исходные данные'!$D$2:$D$953,X$3,'Исходные данные'!$F$2:$F$953,$H23&amp;"")&amp;"+"&amp;SUMIFS('Исходные данные'!$J$2:$J$953,'Исходные данные'!$D$2:$D$953,X$3,'Исходные данные'!$F$2:$F$953,$H23&amp;"")&amp;"="&amp;(SUMIFS('Исходные данные'!$I$2:$I$953,'Исходные данные'!$D$2:$D$953,X$3,'Исходные данные'!$F$2:$F$953,$H23&amp;"")+SUMIFS('Исходные данные'!$J$2:$J$953,'Исходные данные'!$D$2:$D$953,X$3,'Исходные данные'!$F$2:$F$953,$H23&amp;"")))))</f>
        <v/>
      </c>
      <c r="Y23" s="49">
        <f>IF(SUMIFS('Исходные данные'!$I$2:$I$953,'Исходные данные'!$D$2:$D$953,Y$3,'Исходные данные'!$F$2:$F$953,$H23&amp;"")+SUMIFS('Исходные данные'!$J$2:$J$953,'Исходные данные'!$D$2:$D$953,Y$3,'Исходные данные'!$F$2:$F$953,$H23&amp;"")=0,"",IF(SUMIFS('Исходные данные'!$J$2:$J$953,'Исходные данные'!$D$2:$D$953,Y$3,'Исходные данные'!$F$2:$F$953,$H23&amp;"")=0,SUMIFS('Исходные данные'!$I$2:$I$953,'Исходные данные'!$D$2:$D$953,Y$3,'Исходные данные'!$F$2:$F$953,$H23&amp;""),IF(SUMIFS('Исходные данные'!$I$2:$I$953,'Исходные данные'!$D$2:$D$953,Y$3,'Исходные данные'!$F$2:$F$953,$H23&amp;"")=0,"0+"&amp;SUMIFS('Исходные данные'!$J$2:$J$953,'Исходные данные'!$D$2:$D$953,Y$3,'Исходные данные'!$F$2:$F$953,$H23&amp;"")&amp;"="&amp;SUMIFS('Исходные данные'!$J$2:$J$953,'Исходные данные'!$D$2:$D$953,Y$3,'Исходные данные'!$F$2:$F$953,$H23&amp;""),SUMIFS('Исходные данные'!$I$2:$I$953,'Исходные данные'!$D$2:$D$953,Y$3,'Исходные данные'!$F$2:$F$953,$H23&amp;"")&amp;"+"&amp;SUMIFS('Исходные данные'!$J$2:$J$953,'Исходные данные'!$D$2:$D$953,Y$3,'Исходные данные'!$F$2:$F$953,$H23&amp;"")&amp;"="&amp;(SUMIFS('Исходные данные'!$I$2:$I$953,'Исходные данные'!$D$2:$D$953,Y$3,'Исходные данные'!$F$2:$F$953,$H23&amp;"")+SUMIFS('Исходные данные'!$J$2:$J$953,'Исходные данные'!$D$2:$D$953,Y$3,'Исходные данные'!$F$2:$F$953,$H23&amp;"")))))</f>
        <v/>
      </c>
      <c r="Z23" s="46">
        <f>IF(SUMIFS('Исходные данные'!$I$2:$I$953,'Исходные данные'!$D$2:$D$953,Z$3,'Исходные данные'!$F$2:$F$953,$H23&amp;"")+SUMIFS('Исходные данные'!$J$2:$J$953,'Исходные данные'!$D$2:$D$953,Z$3,'Исходные данные'!$F$2:$F$953,$H23&amp;"")=0,"",IF(SUMIFS('Исходные данные'!$J$2:$J$953,'Исходные данные'!$D$2:$D$953,Z$3,'Исходные данные'!$F$2:$F$953,$H23&amp;"")=0,SUMIFS('Исходные данные'!$I$2:$I$953,'Исходные данные'!$D$2:$D$953,Z$3,'Исходные данные'!$F$2:$F$953,$H23&amp;""),IF(SUMIFS('Исходные данные'!$I$2:$I$953,'Исходные данные'!$D$2:$D$953,Z$3,'Исходные данные'!$F$2:$F$953,$H23&amp;"")=0,"0+"&amp;SUMIFS('Исходные данные'!$J$2:$J$953,'Исходные данные'!$D$2:$D$953,Z$3,'Исходные данные'!$F$2:$F$953,$H23&amp;"")&amp;"="&amp;SUMIFS('Исходные данные'!$J$2:$J$953,'Исходные данные'!$D$2:$D$953,Z$3,'Исходные данные'!$F$2:$F$953,$H23&amp;""),SUMIFS('Исходные данные'!$I$2:$I$953,'Исходные данные'!$D$2:$D$953,Z$3,'Исходные данные'!$F$2:$F$953,$H23&amp;"")&amp;"+"&amp;SUMIFS('Исходные данные'!$J$2:$J$953,'Исходные данные'!$D$2:$D$953,Z$3,'Исходные данные'!$F$2:$F$953,$H23&amp;"")&amp;"="&amp;(SUMIFS('Исходные данные'!$I$2:$I$953,'Исходные данные'!$D$2:$D$953,Z$3,'Исходные данные'!$F$2:$F$953,$H23&amp;"")+SUMIFS('Исходные данные'!$J$2:$J$953,'Исходные данные'!$D$2:$D$953,Z$3,'Исходные данные'!$F$2:$F$953,$H23&amp;"")))))</f>
        <v/>
      </c>
      <c r="AA23" s="47">
        <f>IF(SUMIFS('Исходные данные'!$I$2:$I$953,'Исходные данные'!$D$2:$D$953,AA$3,'Исходные данные'!$F$2:$F$953,$H23&amp;"")+SUMIFS('Исходные данные'!$J$2:$J$953,'Исходные данные'!$D$2:$D$953,AA$3,'Исходные данные'!$F$2:$F$953,$H23&amp;"")=0,"",IF(SUMIFS('Исходные данные'!$J$2:$J$953,'Исходные данные'!$D$2:$D$953,AA$3,'Исходные данные'!$F$2:$F$953,$H23&amp;"")=0,SUMIFS('Исходные данные'!$I$2:$I$953,'Исходные данные'!$D$2:$D$953,AA$3,'Исходные данные'!$F$2:$F$953,$H23&amp;""),IF(SUMIFS('Исходные данные'!$I$2:$I$953,'Исходные данные'!$D$2:$D$953,AA$3,'Исходные данные'!$F$2:$F$953,$H23&amp;"")=0,"0+"&amp;SUMIFS('Исходные данные'!$J$2:$J$953,'Исходные данные'!$D$2:$D$953,AA$3,'Исходные данные'!$F$2:$F$953,$H23&amp;"")&amp;"="&amp;SUMIFS('Исходные данные'!$J$2:$J$953,'Исходные данные'!$D$2:$D$953,AA$3,'Исходные данные'!$F$2:$F$953,$H23&amp;""),SUMIFS('Исходные данные'!$I$2:$I$953,'Исходные данные'!$D$2:$D$953,AA$3,'Исходные данные'!$F$2:$F$953,$H23&amp;"")&amp;"+"&amp;SUMIFS('Исходные данные'!$J$2:$J$953,'Исходные данные'!$D$2:$D$953,AA$3,'Исходные данные'!$F$2:$F$953,$H23&amp;"")&amp;"="&amp;(SUMIFS('Исходные данные'!$I$2:$I$953,'Исходные данные'!$D$2:$D$953,AA$3,'Исходные данные'!$F$2:$F$953,$H23&amp;"")+SUMIFS('Исходные данные'!$J$2:$J$953,'Исходные данные'!$D$2:$D$953,AA$3,'Исходные данные'!$F$2:$F$953,$H23&amp;"")))))</f>
        <v/>
      </c>
      <c r="AB23" s="47" t="n"/>
      <c r="AC23" s="46">
        <f>IF(SUMIFS('Исходные данные'!$I$2:$I$953,'Исходные данные'!$D$2:$D$953,AC$3,'Исходные данные'!$F$2:$F$953,$H23&amp;"")+SUMIFS('Исходные данные'!$J$2:$J$953,'Исходные данные'!$D$2:$D$953,AC$3,'Исходные данные'!$F$2:$F$953,$H23&amp;"")=0,"",IF(SUMIFS('Исходные данные'!$J$2:$J$953,'Исходные данные'!$D$2:$D$953,AC$3,'Исходные данные'!$F$2:$F$953,$H23&amp;"")=0,SUMIFS('Исходные данные'!$I$2:$I$953,'Исходные данные'!$D$2:$D$953,AC$3,'Исходные данные'!$F$2:$F$953,$H23&amp;""),IF(SUMIFS('Исходные данные'!$I$2:$I$953,'Исходные данные'!$D$2:$D$953,AC$3,'Исходные данные'!$F$2:$F$953,$H23&amp;"")=0,"0+"&amp;SUMIFS('Исходные данные'!$J$2:$J$953,'Исходные данные'!$D$2:$D$953,AC$3,'Исходные данные'!$F$2:$F$953,$H23&amp;"")&amp;"="&amp;SUMIFS('Исходные данные'!$J$2:$J$953,'Исходные данные'!$D$2:$D$953,AC$3,'Исходные данные'!$F$2:$F$953,$H23&amp;""),SUMIFS('Исходные данные'!$I$2:$I$953,'Исходные данные'!$D$2:$D$953,AC$3,'Исходные данные'!$F$2:$F$953,$H23&amp;"")&amp;"+"&amp;SUMIFS('Исходные данные'!$J$2:$J$953,'Исходные данные'!$D$2:$D$953,AC$3,'Исходные данные'!$F$2:$F$953,$H23&amp;"")&amp;"="&amp;(SUMIFS('Исходные данные'!$I$2:$I$953,'Исходные данные'!$D$2:$D$953,AC$3,'Исходные данные'!$F$2:$F$953,$H23&amp;"")+SUMIFS('Исходные данные'!$J$2:$J$953,'Исходные данные'!$D$2:$D$953,AC$3,'Исходные данные'!$F$2:$F$953,$H23&amp;"")))))</f>
        <v/>
      </c>
      <c r="AD23" s="47">
        <f>IF(SUMIFS('Исходные данные'!$I$2:$I$953,'Исходные данные'!$D$2:$D$953,AD$3,'Исходные данные'!$F$2:$F$953,$H23&amp;"")+SUMIFS('Исходные данные'!$J$2:$J$953,'Исходные данные'!$D$2:$D$953,AD$3,'Исходные данные'!$F$2:$F$953,$H23&amp;"")=0,"",IF(SUMIFS('Исходные данные'!$J$2:$J$953,'Исходные данные'!$D$2:$D$953,AD$3,'Исходные данные'!$F$2:$F$953,$H23&amp;"")=0,SUMIFS('Исходные данные'!$I$2:$I$953,'Исходные данные'!$D$2:$D$953,AD$3,'Исходные данные'!$F$2:$F$953,$H23&amp;""),IF(SUMIFS('Исходные данные'!$I$2:$I$953,'Исходные данные'!$D$2:$D$953,AD$3,'Исходные данные'!$F$2:$F$953,$H23&amp;"")=0,"0+"&amp;SUMIFS('Исходные данные'!$J$2:$J$953,'Исходные данные'!$D$2:$D$953,AD$3,'Исходные данные'!$F$2:$F$953,$H23&amp;"")&amp;"="&amp;SUMIFS('Исходные данные'!$J$2:$J$953,'Исходные данные'!$D$2:$D$953,AD$3,'Исходные данные'!$F$2:$F$953,$H23&amp;""),SUMIFS('Исходные данные'!$I$2:$I$953,'Исходные данные'!$D$2:$D$953,AD$3,'Исходные данные'!$F$2:$F$953,$H23&amp;"")&amp;"+"&amp;SUMIFS('Исходные данные'!$J$2:$J$953,'Исходные данные'!$D$2:$D$953,AD$3,'Исходные данные'!$F$2:$F$953,$H23&amp;"")&amp;"="&amp;(SUMIFS('Исходные данные'!$I$2:$I$953,'Исходные данные'!$D$2:$D$953,AD$3,'Исходные данные'!$F$2:$F$953,$H23&amp;"")+SUMIFS('Исходные данные'!$J$2:$J$953,'Исходные данные'!$D$2:$D$953,AD$3,'Исходные данные'!$F$2:$F$953,$H23&amp;"")))))</f>
        <v/>
      </c>
    </row>
    <row r="24" ht="25.5" customHeight="1" thickBot="1">
      <c r="A24" s="34" t="n">
        <v>20</v>
      </c>
      <c r="B24" s="95" t="n"/>
      <c r="C24" s="117" t="n"/>
      <c r="D24" s="118" t="n"/>
      <c r="E24" s="117" t="n"/>
      <c r="F24" s="117" t="n"/>
      <c r="G24" s="102" t="n"/>
      <c r="H24" s="88" t="n"/>
      <c r="I24" s="50" t="n"/>
      <c r="J24" s="75" t="n"/>
      <c r="K24" s="69" t="n"/>
      <c r="L24" s="87" t="n"/>
      <c r="M24" s="82" t="n"/>
      <c r="N24" s="82" t="n"/>
      <c r="O24" s="51" t="n"/>
      <c r="P24" s="52" t="n"/>
      <c r="Q24" s="51" t="n"/>
      <c r="R24" s="53" t="n"/>
      <c r="S24" s="52" t="n"/>
      <c r="T24" s="51" t="n"/>
      <c r="U24" s="52" t="n"/>
      <c r="V24" s="51" t="n"/>
      <c r="W24" s="52" t="n"/>
      <c r="X24" s="52" t="n"/>
      <c r="Y24" s="54" t="n"/>
      <c r="Z24" s="51" t="n"/>
      <c r="AA24" s="52" t="n"/>
      <c r="AB24" s="52" t="n"/>
      <c r="AC24" s="51" t="n"/>
      <c r="AD24" s="52" t="n"/>
    </row>
    <row r="25" ht="25.5" customHeight="1" thickBot="1">
      <c r="A25" s="34" t="n">
        <v>21</v>
      </c>
      <c r="B25" s="103" t="n"/>
      <c r="C25" s="118" t="n"/>
      <c r="D25" s="118" t="n"/>
      <c r="E25" s="118" t="n"/>
      <c r="F25" s="118" t="n"/>
      <c r="G25" s="119" t="n"/>
      <c r="H25" s="5" t="inlineStr">
        <is>
          <t>Техникаға сұраныс</t>
        </is>
      </c>
      <c r="I25" s="135" t="n"/>
      <c r="J25" s="135" t="n"/>
      <c r="K25" s="135" t="n"/>
      <c r="L25" s="135" t="n"/>
      <c r="M25" s="135" t="n"/>
      <c r="N25" s="135" t="n"/>
      <c r="O25" s="135" t="n"/>
      <c r="P25" s="135" t="n"/>
      <c r="Q25" s="135" t="n"/>
      <c r="R25" s="135" t="n"/>
      <c r="S25" s="135" t="n"/>
      <c r="T25" s="135" t="n"/>
      <c r="U25" s="135" t="n"/>
      <c r="V25" s="135" t="n"/>
      <c r="W25" s="135" t="n"/>
      <c r="X25" s="135" t="n"/>
      <c r="Y25" s="135" t="n"/>
      <c r="Z25" s="135" t="n"/>
      <c r="AA25" s="135" t="n"/>
      <c r="AB25" s="135" t="n"/>
      <c r="AC25" s="135" t="n"/>
      <c r="AD25" s="136" t="n"/>
    </row>
    <row r="26" ht="25.5" customHeight="1">
      <c r="A26" s="34" t="n">
        <v>22</v>
      </c>
      <c r="B26" s="95" t="n"/>
      <c r="C26" s="117" t="n"/>
      <c r="D26" s="118" t="n"/>
      <c r="E26" s="117" t="n"/>
      <c r="F26" s="118" t="n"/>
      <c r="G26" s="101" t="n"/>
      <c r="H26" s="55" t="n">
        <v>1</v>
      </c>
      <c r="I26" s="4" t="n"/>
      <c r="J26" s="137" t="n"/>
      <c r="K26" s="137" t="n"/>
      <c r="L26" s="137" t="n"/>
      <c r="M26" s="137" t="n"/>
      <c r="N26" s="137" t="n"/>
      <c r="O26" s="137" t="n"/>
      <c r="P26" s="137" t="n"/>
      <c r="Q26" s="137" t="n"/>
      <c r="R26" s="137" t="n"/>
      <c r="S26" s="137" t="n"/>
      <c r="T26" s="137" t="n"/>
      <c r="U26" s="137" t="n"/>
      <c r="V26" s="137" t="n"/>
      <c r="W26" s="137" t="n"/>
      <c r="X26" s="137" t="n"/>
      <c r="Y26" s="137" t="n"/>
      <c r="Z26" s="137" t="n"/>
      <c r="AA26" s="137" t="n"/>
      <c r="AB26" s="137" t="n"/>
      <c r="AC26" s="137" t="n"/>
      <c r="AD26" s="138" t="n"/>
    </row>
    <row r="27" ht="25.5" customHeight="1">
      <c r="A27" s="34" t="n">
        <v>23</v>
      </c>
      <c r="B27" s="95" t="n"/>
      <c r="C27" s="117" t="n"/>
      <c r="D27" s="118" t="n"/>
      <c r="E27" s="117" t="n"/>
      <c r="F27" s="118" t="n"/>
      <c r="G27" s="101" t="n"/>
      <c r="H27" s="56" t="n">
        <v>2</v>
      </c>
      <c r="I27" s="3" t="n"/>
      <c r="J27" s="139" t="n"/>
      <c r="K27" s="139" t="n"/>
      <c r="L27" s="139" t="n"/>
      <c r="M27" s="139" t="n"/>
      <c r="N27" s="139" t="n"/>
      <c r="O27" s="139" t="n"/>
      <c r="P27" s="139" t="n"/>
      <c r="Q27" s="139" t="n"/>
      <c r="R27" s="139" t="n"/>
      <c r="S27" s="139" t="n"/>
      <c r="T27" s="139" t="n"/>
      <c r="U27" s="139" t="n"/>
      <c r="V27" s="139" t="n"/>
      <c r="W27" s="139" t="n"/>
      <c r="X27" s="139" t="n"/>
      <c r="Y27" s="139" t="n"/>
      <c r="Z27" s="139" t="n"/>
      <c r="AA27" s="139" t="n"/>
      <c r="AB27" s="139" t="n"/>
      <c r="AC27" s="139" t="n"/>
      <c r="AD27" s="140" t="n"/>
    </row>
    <row r="28" ht="25.5" customHeight="1">
      <c r="A28" s="34" t="n">
        <v>24</v>
      </c>
      <c r="B28" s="95" t="n"/>
      <c r="C28" s="117" t="n"/>
      <c r="D28" s="104" t="n"/>
      <c r="E28" s="117" t="n"/>
      <c r="F28" s="117" t="n"/>
      <c r="G28" s="101" t="n"/>
      <c r="H28" s="56" t="n">
        <v>3</v>
      </c>
      <c r="I28" s="3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40" t="n"/>
    </row>
    <row r="29" ht="25.5" customHeight="1">
      <c r="A29" s="34" t="n">
        <v>25</v>
      </c>
      <c r="B29" s="95" t="n"/>
      <c r="C29" s="117" t="n"/>
      <c r="D29" s="117" t="n"/>
      <c r="E29" s="117" t="n"/>
      <c r="F29" s="117" t="n"/>
      <c r="G29" s="101" t="n"/>
      <c r="H29" s="56" t="n">
        <v>4</v>
      </c>
      <c r="I29" s="2" t="n"/>
      <c r="J29" s="139" t="n"/>
      <c r="K29" s="139" t="n"/>
      <c r="L29" s="139" t="n"/>
      <c r="M29" s="139" t="n"/>
      <c r="N29" s="139" t="n"/>
      <c r="O29" s="139" t="n"/>
      <c r="P29" s="139" t="n"/>
      <c r="Q29" s="139" t="n"/>
      <c r="R29" s="139" t="n"/>
      <c r="S29" s="139" t="n"/>
      <c r="T29" s="139" t="n"/>
      <c r="U29" s="139" t="n"/>
      <c r="V29" s="139" t="n"/>
      <c r="W29" s="139" t="n"/>
      <c r="X29" s="139" t="n"/>
      <c r="Y29" s="139" t="n"/>
      <c r="Z29" s="139" t="n"/>
      <c r="AA29" s="139" t="n"/>
      <c r="AB29" s="139" t="n"/>
      <c r="AC29" s="139" t="n"/>
      <c r="AD29" s="140" t="n"/>
    </row>
    <row r="30" ht="25.5" customHeight="1">
      <c r="A30" s="34" t="n">
        <v>26</v>
      </c>
      <c r="B30" s="95" t="n"/>
      <c r="C30" s="117" t="n"/>
      <c r="D30" s="118" t="n"/>
      <c r="E30" s="117" t="n"/>
      <c r="F30" s="117" t="n"/>
      <c r="G30" s="101" t="n"/>
      <c r="H30" s="56" t="n">
        <v>5</v>
      </c>
      <c r="I30" s="2" t="n"/>
      <c r="J30" s="139" t="n"/>
      <c r="K30" s="139" t="n"/>
      <c r="L30" s="139" t="n"/>
      <c r="M30" s="139" t="n"/>
      <c r="N30" s="139" t="n"/>
      <c r="O30" s="139" t="n"/>
      <c r="P30" s="139" t="n"/>
      <c r="Q30" s="139" t="n"/>
      <c r="R30" s="139" t="n"/>
      <c r="S30" s="139" t="n"/>
      <c r="T30" s="139" t="n"/>
      <c r="U30" s="139" t="n"/>
      <c r="V30" s="139" t="n"/>
      <c r="W30" s="139" t="n"/>
      <c r="X30" s="139" t="n"/>
      <c r="Y30" s="139" t="n"/>
      <c r="Z30" s="139" t="n"/>
      <c r="AA30" s="139" t="n"/>
      <c r="AB30" s="139" t="n"/>
      <c r="AC30" s="139" t="n"/>
      <c r="AD30" s="140" t="n"/>
    </row>
    <row r="31" ht="25.5" customHeight="1">
      <c r="A31" s="34" t="n">
        <v>27</v>
      </c>
      <c r="B31" s="95" t="n"/>
      <c r="C31" s="117" t="n"/>
      <c r="D31" s="118" t="n"/>
      <c r="E31" s="117" t="n"/>
      <c r="F31" s="118" t="n"/>
      <c r="G31" s="102" t="n"/>
      <c r="H31" s="56" t="n">
        <v>6</v>
      </c>
      <c r="I31" s="2" t="n"/>
      <c r="J31" s="139" t="n"/>
      <c r="K31" s="139" t="n"/>
      <c r="L31" s="139" t="n"/>
      <c r="M31" s="139" t="n"/>
      <c r="N31" s="139" t="n"/>
      <c r="O31" s="139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  <c r="AA31" s="139" t="n"/>
      <c r="AB31" s="139" t="n"/>
      <c r="AC31" s="139" t="n"/>
      <c r="AD31" s="140" t="n"/>
    </row>
    <row r="32" ht="25.5" customHeight="1">
      <c r="A32" s="34" t="n">
        <v>28</v>
      </c>
      <c r="B32" s="95" t="n"/>
      <c r="C32" s="117" t="n"/>
      <c r="D32" s="118" t="n"/>
      <c r="E32" s="117" t="n"/>
      <c r="F32" s="118" t="n"/>
      <c r="G32" s="101" t="n"/>
      <c r="H32" s="56" t="n">
        <v>7</v>
      </c>
      <c r="I32" s="2" t="n"/>
      <c r="J32" s="139" t="n"/>
      <c r="K32" s="139" t="n"/>
      <c r="L32" s="139" t="n"/>
      <c r="M32" s="139" t="n"/>
      <c r="N32" s="139" t="n"/>
      <c r="O32" s="139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  <c r="AA32" s="139" t="n"/>
      <c r="AB32" s="139" t="n"/>
      <c r="AC32" s="139" t="n"/>
      <c r="AD32" s="140" t="n"/>
    </row>
    <row r="33" ht="25.5" customHeight="1">
      <c r="A33" s="34" t="n">
        <v>29</v>
      </c>
      <c r="B33" s="95" t="n"/>
      <c r="C33" s="117" t="n"/>
      <c r="D33" s="118" t="n"/>
      <c r="E33" s="117" t="n"/>
      <c r="F33" s="118" t="n"/>
      <c r="G33" s="102" t="n"/>
      <c r="H33" s="56" t="n">
        <v>8</v>
      </c>
      <c r="I33" s="2" t="n"/>
      <c r="J33" s="139" t="n"/>
      <c r="K33" s="139" t="n"/>
      <c r="L33" s="139" t="n"/>
      <c r="M33" s="139" t="n"/>
      <c r="N33" s="139" t="n"/>
      <c r="O33" s="139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  <c r="AA33" s="139" t="n"/>
      <c r="AB33" s="139" t="n"/>
      <c r="AC33" s="139" t="n"/>
      <c r="AD33" s="140" t="n"/>
    </row>
    <row r="34" ht="25.5" customHeight="1">
      <c r="A34" s="34" t="n">
        <v>30</v>
      </c>
      <c r="B34" s="95" t="n"/>
      <c r="C34" s="117" t="n"/>
      <c r="D34" s="118" t="n"/>
      <c r="E34" s="117" t="n"/>
      <c r="F34" s="118" t="n"/>
      <c r="G34" s="102" t="n"/>
      <c r="H34" s="56" t="n">
        <v>9</v>
      </c>
      <c r="I34" s="2" t="n"/>
      <c r="J34" s="139" t="n"/>
      <c r="K34" s="139" t="n"/>
      <c r="L34" s="139" t="n"/>
      <c r="M34" s="139" t="n"/>
      <c r="N34" s="139" t="n"/>
      <c r="O34" s="139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  <c r="AA34" s="139" t="n"/>
      <c r="AB34" s="139" t="n"/>
      <c r="AC34" s="139" t="n"/>
      <c r="AD34" s="140" t="n"/>
    </row>
    <row r="35" ht="25.5" customHeight="1">
      <c r="A35" s="34" t="n">
        <v>31</v>
      </c>
      <c r="B35" s="95" t="n"/>
      <c r="C35" s="117" t="n"/>
      <c r="D35" s="118" t="n"/>
      <c r="E35" s="117" t="n"/>
      <c r="F35" s="118" t="n"/>
      <c r="G35" s="102" t="n"/>
      <c r="H35" s="56" t="n">
        <v>10</v>
      </c>
      <c r="I35" s="2" t="n"/>
      <c r="J35" s="139" t="n"/>
      <c r="K35" s="139" t="n"/>
      <c r="L35" s="139" t="n"/>
      <c r="M35" s="139" t="n"/>
      <c r="N35" s="139" t="n"/>
      <c r="O35" s="139" t="n"/>
      <c r="P35" s="139" t="n"/>
      <c r="Q35" s="139" t="n"/>
      <c r="R35" s="139" t="n"/>
      <c r="S35" s="139" t="n"/>
      <c r="T35" s="139" t="n"/>
      <c r="U35" s="139" t="n"/>
      <c r="V35" s="139" t="n"/>
      <c r="W35" s="139" t="n"/>
      <c r="X35" s="139" t="n"/>
      <c r="Y35" s="139" t="n"/>
      <c r="Z35" s="139" t="n"/>
      <c r="AA35" s="139" t="n"/>
      <c r="AB35" s="139" t="n"/>
      <c r="AC35" s="139" t="n"/>
      <c r="AD35" s="140" t="n"/>
    </row>
    <row r="36" ht="25.5" customHeight="1">
      <c r="A36" s="34" t="n">
        <v>32</v>
      </c>
      <c r="B36" s="95" t="n"/>
      <c r="C36" s="117" t="n"/>
      <c r="D36" s="118" t="n"/>
      <c r="E36" s="117" t="n"/>
      <c r="F36" s="117" t="n"/>
      <c r="G36" s="101" t="n"/>
      <c r="H36" s="56" t="n">
        <v>11</v>
      </c>
      <c r="I36" s="2" t="n"/>
      <c r="J36" s="139" t="n"/>
      <c r="K36" s="139" t="n"/>
      <c r="L36" s="139" t="n"/>
      <c r="M36" s="139" t="n"/>
      <c r="N36" s="139" t="n"/>
      <c r="O36" s="139" t="n"/>
      <c r="P36" s="139" t="n"/>
      <c r="Q36" s="139" t="n"/>
      <c r="R36" s="139" t="n"/>
      <c r="S36" s="139" t="n"/>
      <c r="T36" s="139" t="n"/>
      <c r="U36" s="139" t="n"/>
      <c r="V36" s="139" t="n"/>
      <c r="W36" s="139" t="n"/>
      <c r="X36" s="139" t="n"/>
      <c r="Y36" s="139" t="n"/>
      <c r="Z36" s="139" t="n"/>
      <c r="AA36" s="139" t="n"/>
      <c r="AB36" s="139" t="n"/>
      <c r="AC36" s="139" t="n"/>
      <c r="AD36" s="140" t="n"/>
    </row>
    <row r="37" ht="25.5" customHeight="1">
      <c r="A37" s="34" t="n">
        <v>33</v>
      </c>
      <c r="B37" s="95" t="n"/>
      <c r="C37" s="117" t="n"/>
      <c r="D37" s="118" t="n"/>
      <c r="E37" s="117" t="n"/>
      <c r="F37" s="117" t="n"/>
      <c r="G37" s="101" t="n"/>
      <c r="H37" s="56" t="n">
        <v>12</v>
      </c>
      <c r="I37" s="2" t="n"/>
      <c r="J37" s="139" t="n"/>
      <c r="K37" s="139" t="n"/>
      <c r="L37" s="139" t="n"/>
      <c r="M37" s="139" t="n"/>
      <c r="N37" s="139" t="n"/>
      <c r="O37" s="139" t="n"/>
      <c r="P37" s="139" t="n"/>
      <c r="Q37" s="139" t="n"/>
      <c r="R37" s="139" t="n"/>
      <c r="S37" s="139" t="n"/>
      <c r="T37" s="139" t="n"/>
      <c r="U37" s="139" t="n"/>
      <c r="V37" s="139" t="n"/>
      <c r="W37" s="139" t="n"/>
      <c r="X37" s="139" t="n"/>
      <c r="Y37" s="139" t="n"/>
      <c r="Z37" s="139" t="n"/>
      <c r="AA37" s="139" t="n"/>
      <c r="AB37" s="139" t="n"/>
      <c r="AC37" s="139" t="n"/>
      <c r="AD37" s="140" t="n"/>
    </row>
    <row r="38" ht="25.5" customHeight="1">
      <c r="A38" s="34" t="n">
        <v>34</v>
      </c>
      <c r="B38" s="103" t="n"/>
      <c r="C38" s="118" t="n"/>
      <c r="D38" s="118" t="n"/>
      <c r="E38" s="117" t="n"/>
      <c r="F38" s="118" t="n"/>
      <c r="G38" s="101" t="n"/>
      <c r="H38" s="56" t="n">
        <v>13</v>
      </c>
      <c r="I38" s="2" t="n"/>
      <c r="J38" s="139" t="n"/>
      <c r="K38" s="139" t="n"/>
      <c r="L38" s="139" t="n"/>
      <c r="M38" s="139" t="n"/>
      <c r="N38" s="139" t="n"/>
      <c r="O38" s="139" t="n"/>
      <c r="P38" s="139" t="n"/>
      <c r="Q38" s="139" t="n"/>
      <c r="R38" s="139" t="n"/>
      <c r="S38" s="139" t="n"/>
      <c r="T38" s="139" t="n"/>
      <c r="U38" s="139" t="n"/>
      <c r="V38" s="139" t="n"/>
      <c r="W38" s="139" t="n"/>
      <c r="X38" s="139" t="n"/>
      <c r="Y38" s="139" t="n"/>
      <c r="Z38" s="139" t="n"/>
      <c r="AA38" s="139" t="n"/>
      <c r="AB38" s="139" t="n"/>
      <c r="AC38" s="139" t="n"/>
      <c r="AD38" s="140" t="n"/>
    </row>
    <row r="39" ht="25.5" customHeight="1">
      <c r="A39" s="34" t="n">
        <v>35</v>
      </c>
      <c r="B39" s="103" t="n"/>
      <c r="C39" s="117" t="n"/>
      <c r="D39" s="118" t="n"/>
      <c r="E39" s="117" t="n"/>
      <c r="F39" s="105" t="n"/>
      <c r="G39" s="101" t="n"/>
      <c r="H39" s="56" t="n">
        <v>14</v>
      </c>
      <c r="I39" s="2" t="n"/>
      <c r="J39" s="139" t="n"/>
      <c r="K39" s="139" t="n"/>
      <c r="L39" s="139" t="n"/>
      <c r="M39" s="139" t="n"/>
      <c r="N39" s="139" t="n"/>
      <c r="O39" s="139" t="n"/>
      <c r="P39" s="139" t="n"/>
      <c r="Q39" s="139" t="n"/>
      <c r="R39" s="139" t="n"/>
      <c r="S39" s="139" t="n"/>
      <c r="T39" s="139" t="n"/>
      <c r="U39" s="139" t="n"/>
      <c r="V39" s="139" t="n"/>
      <c r="W39" s="139" t="n"/>
      <c r="X39" s="139" t="n"/>
      <c r="Y39" s="139" t="n"/>
      <c r="Z39" s="139" t="n"/>
      <c r="AA39" s="139" t="n"/>
      <c r="AB39" s="139" t="n"/>
      <c r="AC39" s="139" t="n"/>
      <c r="AD39" s="140" t="n"/>
    </row>
    <row r="40" ht="25.5" customHeight="1">
      <c r="A40" s="34" t="n">
        <v>36</v>
      </c>
      <c r="B40" s="103" t="n"/>
      <c r="C40" s="117" t="n"/>
      <c r="D40" s="118" t="n"/>
      <c r="E40" s="117" t="n"/>
      <c r="F40" s="105" t="n"/>
      <c r="G40" s="101" t="n"/>
      <c r="H40" s="56" t="n">
        <v>15</v>
      </c>
      <c r="I40" s="2" t="n"/>
      <c r="J40" s="139" t="n"/>
      <c r="K40" s="139" t="n"/>
      <c r="L40" s="139" t="n"/>
      <c r="M40" s="139" t="n"/>
      <c r="N40" s="139" t="n"/>
      <c r="O40" s="139" t="n"/>
      <c r="P40" s="139" t="n"/>
      <c r="Q40" s="139" t="n"/>
      <c r="R40" s="139" t="n"/>
      <c r="S40" s="139" t="n"/>
      <c r="T40" s="139" t="n"/>
      <c r="U40" s="139" t="n"/>
      <c r="V40" s="139" t="n"/>
      <c r="W40" s="139" t="n"/>
      <c r="X40" s="139" t="n"/>
      <c r="Y40" s="139" t="n"/>
      <c r="Z40" s="139" t="n"/>
      <c r="AA40" s="139" t="n"/>
      <c r="AB40" s="139" t="n"/>
      <c r="AC40" s="139" t="n"/>
      <c r="AD40" s="140" t="n"/>
    </row>
    <row r="41" ht="25.5" customHeight="1">
      <c r="A41" s="34" t="n">
        <v>37</v>
      </c>
      <c r="B41" s="103" t="n"/>
      <c r="C41" s="118" t="n"/>
      <c r="D41" s="118" t="n"/>
      <c r="E41" s="118" t="n"/>
      <c r="F41" s="118" t="n"/>
      <c r="G41" s="119" t="n"/>
      <c r="H41" s="56" t="n">
        <v>16</v>
      </c>
      <c r="I41" s="1" t="n"/>
      <c r="J41" s="139" t="n"/>
      <c r="K41" s="139" t="n"/>
      <c r="L41" s="139" t="n"/>
      <c r="M41" s="139" t="n"/>
      <c r="N41" s="139" t="n"/>
      <c r="O41" s="139" t="n"/>
      <c r="P41" s="139" t="n"/>
      <c r="Q41" s="139" t="n"/>
      <c r="R41" s="139" t="n"/>
      <c r="S41" s="139" t="n"/>
      <c r="T41" s="139" t="n"/>
      <c r="U41" s="139" t="n"/>
      <c r="V41" s="139" t="n"/>
      <c r="W41" s="139" t="n"/>
      <c r="X41" s="139" t="n"/>
      <c r="Y41" s="139" t="n"/>
      <c r="Z41" s="139" t="n"/>
      <c r="AA41" s="139" t="n"/>
      <c r="AB41" s="139" t="n"/>
      <c r="AC41" s="139" t="n"/>
      <c r="AD41" s="140" t="n"/>
    </row>
    <row r="42" ht="25.5" customHeight="1">
      <c r="A42" s="34" t="n">
        <v>38</v>
      </c>
      <c r="B42" s="95" t="n"/>
      <c r="C42" s="117" t="n"/>
      <c r="D42" s="118" t="n"/>
      <c r="E42" s="117" t="n"/>
      <c r="F42" s="118" t="n"/>
      <c r="G42" s="119" t="n"/>
      <c r="H42" s="56" t="n">
        <v>17</v>
      </c>
      <c r="I42" s="2" t="n"/>
      <c r="J42" s="139" t="n"/>
      <c r="K42" s="139" t="n"/>
      <c r="L42" s="139" t="n"/>
      <c r="M42" s="139" t="n"/>
      <c r="N42" s="139" t="n"/>
      <c r="O42" s="139" t="n"/>
      <c r="P42" s="139" t="n"/>
      <c r="Q42" s="139" t="n"/>
      <c r="R42" s="139" t="n"/>
      <c r="S42" s="139" t="n"/>
      <c r="T42" s="139" t="n"/>
      <c r="U42" s="139" t="n"/>
      <c r="V42" s="139" t="n"/>
      <c r="W42" s="139" t="n"/>
      <c r="X42" s="139" t="n"/>
      <c r="Y42" s="139" t="n"/>
      <c r="Z42" s="139" t="n"/>
      <c r="AA42" s="139" t="n"/>
      <c r="AB42" s="139" t="n"/>
      <c r="AC42" s="139" t="n"/>
      <c r="AD42" s="140" t="n"/>
    </row>
    <row r="43" ht="25.5" customHeight="1">
      <c r="A43" s="34" t="n">
        <v>39</v>
      </c>
      <c r="B43" s="95" t="n"/>
      <c r="C43" s="117" t="n"/>
      <c r="D43" s="106" t="n"/>
      <c r="E43" s="117" t="n"/>
      <c r="F43" s="118" t="n"/>
      <c r="G43" s="119" t="n"/>
      <c r="H43" s="56" t="n">
        <v>18</v>
      </c>
      <c r="I43" s="1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  <c r="AA43" s="139" t="n"/>
      <c r="AB43" s="139" t="n"/>
      <c r="AC43" s="139" t="n"/>
      <c r="AD43" s="140" t="n"/>
    </row>
    <row r="44" ht="25.5" customHeight="1">
      <c r="A44" s="34" t="n">
        <v>40</v>
      </c>
      <c r="B44" s="95" t="n"/>
      <c r="C44" s="117" t="n"/>
      <c r="D44" s="106" t="n"/>
      <c r="E44" s="117" t="n"/>
      <c r="F44" s="118" t="n"/>
      <c r="G44" s="119" t="n"/>
      <c r="H44" s="56" t="n">
        <v>19</v>
      </c>
      <c r="I44" s="2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  <c r="AA44" s="139" t="n"/>
      <c r="AB44" s="139" t="n"/>
      <c r="AC44" s="139" t="n"/>
      <c r="AD44" s="140" t="n"/>
    </row>
    <row r="45" ht="25.5" customHeight="1">
      <c r="A45" s="34" t="n">
        <v>41</v>
      </c>
      <c r="B45" s="95" t="n"/>
      <c r="C45" s="117" t="n"/>
      <c r="D45" s="106" t="n"/>
      <c r="E45" s="117" t="n"/>
      <c r="F45" s="118" t="n"/>
      <c r="G45" s="119" t="n"/>
      <c r="H45" s="56" t="n">
        <v>20</v>
      </c>
      <c r="I45" s="2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  <c r="AA45" s="139" t="n"/>
      <c r="AB45" s="139" t="n"/>
      <c r="AC45" s="139" t="n"/>
      <c r="AD45" s="140" t="n"/>
    </row>
    <row r="46" ht="25.5" customHeight="1" thickBot="1">
      <c r="A46" s="34" t="n">
        <v>42</v>
      </c>
      <c r="B46" s="95" t="n"/>
      <c r="C46" s="117" t="n"/>
      <c r="D46" s="106" t="n"/>
      <c r="E46" s="117" t="n"/>
      <c r="F46" s="118" t="n"/>
      <c r="G46" s="119" t="n"/>
      <c r="H46" s="89" t="n">
        <v>21</v>
      </c>
      <c r="I46" s="90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141" t="n"/>
      <c r="U46" s="141" t="n"/>
      <c r="V46" s="141" t="n"/>
      <c r="W46" s="141" t="n"/>
      <c r="X46" s="141" t="n"/>
      <c r="Y46" s="141" t="n"/>
      <c r="Z46" s="141" t="n"/>
      <c r="AA46" s="141" t="n"/>
      <c r="AB46" s="141" t="n"/>
      <c r="AC46" s="141" t="n"/>
      <c r="AD46" s="142" t="n"/>
    </row>
    <row r="47" ht="25.5" customHeight="1">
      <c r="A47" s="34" t="n">
        <v>43</v>
      </c>
      <c r="B47" s="95" t="n"/>
      <c r="C47" s="117" t="n"/>
      <c r="D47" s="106" t="n"/>
      <c r="E47" s="117" t="n"/>
      <c r="F47" s="118" t="n"/>
      <c r="G47" s="107" t="n"/>
      <c r="H47" s="21" t="n">
        <v>1</v>
      </c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  <c r="S47" s="115" t="n"/>
      <c r="T47" s="115" t="n"/>
      <c r="U47" s="115" t="n"/>
      <c r="V47" s="115" t="n"/>
      <c r="W47" s="115" t="n"/>
      <c r="X47" s="115" t="n"/>
      <c r="Y47" s="115" t="n"/>
      <c r="Z47" s="115" t="n"/>
      <c r="AA47" s="115" t="n"/>
      <c r="AB47" s="115" t="n"/>
      <c r="AC47" s="115" t="n"/>
      <c r="AD47" s="116" t="n"/>
    </row>
    <row r="48" ht="25.5" customHeight="1">
      <c r="A48" s="34" t="n">
        <v>44</v>
      </c>
      <c r="B48" s="103" t="n"/>
      <c r="C48" s="117" t="n"/>
      <c r="D48" s="106" t="n"/>
      <c r="E48" s="117" t="n"/>
      <c r="F48" s="118" t="n"/>
      <c r="G48" s="107" t="n"/>
      <c r="H48" s="27" t="n">
        <v>2</v>
      </c>
      <c r="I48" s="117" t="n"/>
      <c r="J48" s="117" t="n"/>
      <c r="K48" s="117" t="n"/>
      <c r="L48" s="117" t="n"/>
      <c r="M48" s="117" t="n"/>
      <c r="N48" s="117" t="n"/>
      <c r="O48" s="118" t="n"/>
      <c r="P48" s="118" t="n"/>
      <c r="Q48" s="118" t="n"/>
      <c r="R48" s="118" t="n"/>
      <c r="S48" s="118" t="n"/>
      <c r="T48" s="118" t="n"/>
      <c r="U48" s="118" t="n"/>
      <c r="V48" s="118" t="n"/>
      <c r="W48" s="118" t="n"/>
      <c r="X48" s="118" t="n"/>
      <c r="Y48" s="118" t="n"/>
      <c r="Z48" s="118" t="n"/>
      <c r="AA48" s="118" t="n"/>
      <c r="AB48" s="118" t="n"/>
      <c r="AC48" s="118" t="n"/>
      <c r="AD48" s="119" t="n"/>
    </row>
    <row r="49" ht="25.5" customHeight="1">
      <c r="A49" s="34" t="n">
        <v>45</v>
      </c>
      <c r="B49" s="103" t="n"/>
      <c r="C49" s="117" t="n"/>
      <c r="D49" s="106" t="n"/>
      <c r="E49" s="117" t="n"/>
      <c r="F49" s="118" t="n"/>
      <c r="G49" s="107" t="n"/>
      <c r="H49" s="27" t="n">
        <v>3</v>
      </c>
      <c r="I49" s="117" t="n"/>
      <c r="J49" s="117" t="n"/>
      <c r="K49" s="117" t="n"/>
      <c r="L49" s="117" t="n"/>
      <c r="M49" s="117" t="n"/>
      <c r="N49" s="117" t="n"/>
      <c r="O49" s="117" t="n"/>
      <c r="P49" s="118" t="n"/>
      <c r="Q49" s="118" t="n"/>
      <c r="R49" s="118" t="n"/>
      <c r="S49" s="118" t="n"/>
      <c r="T49" s="118" t="n"/>
      <c r="U49" s="118" t="n"/>
      <c r="V49" s="118" t="n"/>
      <c r="W49" s="118" t="n"/>
      <c r="X49" s="118" t="n"/>
      <c r="Y49" s="118" t="n"/>
      <c r="Z49" s="118" t="n"/>
      <c r="AA49" s="118" t="n"/>
      <c r="AB49" s="118" t="n"/>
      <c r="AC49" s="118" t="n"/>
      <c r="AD49" s="119" t="n"/>
    </row>
    <row r="50" ht="25.5" customHeight="1">
      <c r="A50" s="34" t="n">
        <v>46</v>
      </c>
      <c r="B50" s="95" t="n"/>
      <c r="C50" s="118" t="n"/>
      <c r="D50" s="106" t="n"/>
      <c r="E50" s="117" t="n"/>
      <c r="F50" s="118" t="n"/>
      <c r="G50" s="107" t="n"/>
      <c r="H50" s="27" t="n">
        <v>4</v>
      </c>
      <c r="I50" s="117" t="n"/>
      <c r="J50" s="117" t="n"/>
      <c r="K50" s="117" t="n"/>
      <c r="L50" s="117" t="n"/>
      <c r="M50" s="117" t="n"/>
      <c r="N50" s="117" t="n"/>
      <c r="O50" s="117" t="n"/>
      <c r="P50" s="117" t="n"/>
      <c r="Q50" s="118" t="n"/>
      <c r="R50" s="118" t="n"/>
      <c r="S50" s="118" t="n"/>
      <c r="T50" s="120" t="n"/>
      <c r="U50" s="118" t="n"/>
      <c r="V50" s="118" t="n"/>
      <c r="W50" s="118" t="n"/>
      <c r="X50" s="118" t="n"/>
      <c r="Y50" s="118" t="n"/>
      <c r="Z50" s="118" t="n"/>
      <c r="AA50" s="118" t="n"/>
      <c r="AB50" s="118" t="n"/>
      <c r="AC50" s="118" t="n"/>
      <c r="AD50" s="119" t="n"/>
    </row>
    <row r="51" ht="25.5" customHeight="1">
      <c r="A51" s="34" t="n">
        <v>47</v>
      </c>
      <c r="B51" s="95" t="n"/>
      <c r="C51" s="118" t="n"/>
      <c r="D51" s="106" t="n"/>
      <c r="E51" s="117" t="n"/>
      <c r="F51" s="118" t="n"/>
      <c r="G51" s="107" t="n"/>
      <c r="H51" s="27" t="n">
        <v>5</v>
      </c>
      <c r="I51" s="117" t="n"/>
      <c r="J51" s="117" t="n"/>
      <c r="K51" s="117" t="n"/>
      <c r="L51" s="117" t="n"/>
      <c r="M51" s="117" t="n"/>
      <c r="N51" s="117" t="n"/>
      <c r="O51" s="117" t="n"/>
      <c r="P51" s="117" t="n"/>
      <c r="Q51" s="118" t="n"/>
      <c r="R51" s="118" t="n"/>
      <c r="S51" s="118" t="n"/>
      <c r="T51" s="118" t="n"/>
      <c r="U51" s="118" t="n"/>
      <c r="V51" s="118" t="n"/>
      <c r="W51" s="118" t="n"/>
      <c r="X51" s="118" t="n"/>
      <c r="Y51" s="118" t="n"/>
      <c r="Z51" s="118" t="n"/>
      <c r="AA51" s="118" t="n"/>
      <c r="AB51" s="118" t="n"/>
      <c r="AC51" s="118" t="n"/>
      <c r="AD51" s="119" t="n"/>
    </row>
    <row r="52" ht="25.5" customHeight="1">
      <c r="A52" s="34" t="n">
        <v>48</v>
      </c>
      <c r="B52" s="95" t="n"/>
      <c r="C52" s="118" t="n"/>
      <c r="D52" s="118" t="n"/>
      <c r="E52" s="117" t="n"/>
      <c r="F52" s="118" t="n"/>
      <c r="G52" s="107" t="n"/>
      <c r="H52" s="27" t="n">
        <v>6</v>
      </c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  <c r="AA52" s="118" t="n"/>
      <c r="AB52" s="118" t="n"/>
      <c r="AC52" s="118" t="n"/>
      <c r="AD52" s="119" t="n"/>
    </row>
    <row r="53" ht="25.5" customHeight="1">
      <c r="A53" s="34" t="n">
        <v>49</v>
      </c>
      <c r="B53" s="95" t="n"/>
      <c r="C53" s="118" t="n"/>
      <c r="D53" s="118" t="n"/>
      <c r="E53" s="117" t="n"/>
      <c r="F53" s="118" t="n"/>
      <c r="G53" s="107" t="n"/>
      <c r="H53" s="27" t="n">
        <v>7</v>
      </c>
      <c r="I53" s="117" t="n"/>
      <c r="J53" s="117" t="n"/>
      <c r="K53" s="117" t="n"/>
      <c r="L53" s="117" t="n"/>
      <c r="M53" s="117" t="n"/>
      <c r="N53" s="117" t="n"/>
      <c r="O53" s="118" t="n"/>
      <c r="P53" s="118" t="n"/>
      <c r="Q53" s="118" t="n"/>
      <c r="R53" s="118" t="n"/>
      <c r="S53" s="117" t="n"/>
      <c r="T53" s="117" t="n"/>
      <c r="U53" s="117" t="n"/>
      <c r="V53" s="118" t="n"/>
      <c r="W53" s="118" t="n"/>
      <c r="X53" s="118" t="n"/>
      <c r="Y53" s="118" t="n"/>
      <c r="Z53" s="118" t="n"/>
      <c r="AA53" s="118" t="n"/>
      <c r="AB53" s="118" t="n"/>
      <c r="AC53" s="118" t="n"/>
      <c r="AD53" s="119" t="n"/>
    </row>
    <row r="54" ht="25.5" customHeight="1">
      <c r="A54" s="34" t="n">
        <v>50</v>
      </c>
      <c r="B54" s="95" t="n"/>
      <c r="C54" s="118" t="n"/>
      <c r="D54" s="118" t="n"/>
      <c r="E54" s="117" t="n"/>
      <c r="F54" s="118" t="n"/>
      <c r="G54" s="107" t="n"/>
      <c r="H54" s="27" t="n">
        <v>8</v>
      </c>
      <c r="I54" s="121" t="n"/>
      <c r="J54" s="121" t="n"/>
      <c r="K54" s="121" t="n"/>
      <c r="L54" s="121" t="n"/>
      <c r="M54" s="121" t="n"/>
      <c r="N54" s="121" t="n"/>
      <c r="O54" s="118" t="n"/>
      <c r="P54" s="118" t="n"/>
      <c r="Q54" s="118" t="n"/>
      <c r="R54" s="118" t="n"/>
      <c r="S54" s="118" t="n"/>
      <c r="T54" s="118" t="n"/>
      <c r="U54" s="118" t="n"/>
      <c r="V54" s="117" t="n"/>
      <c r="W54" s="117" t="n"/>
      <c r="X54" s="117" t="n"/>
      <c r="Y54" s="117" t="n"/>
      <c r="Z54" s="117" t="n"/>
      <c r="AA54" s="117" t="n"/>
      <c r="AB54" s="117" t="n"/>
      <c r="AC54" s="117" t="n"/>
      <c r="AD54" s="119" t="n"/>
    </row>
    <row r="55" ht="25.5" customHeight="1">
      <c r="A55" s="34" t="n">
        <v>51</v>
      </c>
      <c r="B55" s="95" t="n"/>
      <c r="C55" s="118" t="n"/>
      <c r="D55" s="118" t="n"/>
      <c r="E55" s="117" t="n"/>
      <c r="F55" s="118" t="n"/>
      <c r="G55" s="107" t="n"/>
      <c r="H55" s="27" t="n">
        <v>9</v>
      </c>
      <c r="I55" s="117" t="n"/>
      <c r="J55" s="117" t="n"/>
      <c r="K55" s="117" t="n"/>
      <c r="L55" s="117" t="n"/>
      <c r="M55" s="117" t="n"/>
      <c r="N55" s="117" t="n"/>
      <c r="O55" s="117" t="n"/>
      <c r="P55" s="117" t="n"/>
      <c r="Q55" s="118" t="n"/>
      <c r="R55" s="118" t="n"/>
      <c r="S55" s="118" t="n"/>
      <c r="T55" s="118" t="n"/>
      <c r="U55" s="118" t="n"/>
      <c r="V55" s="117" t="n"/>
      <c r="W55" s="117" t="n"/>
      <c r="X55" s="117" t="n"/>
      <c r="Y55" s="117" t="n"/>
      <c r="Z55" s="117" t="n"/>
      <c r="AA55" s="117" t="n"/>
      <c r="AB55" s="117" t="n"/>
      <c r="AC55" s="117" t="n"/>
      <c r="AD55" s="119" t="n"/>
    </row>
    <row r="56" ht="25.5" customHeight="1">
      <c r="A56" s="34" t="n">
        <v>52</v>
      </c>
      <c r="B56" s="95" t="n"/>
      <c r="C56" s="118" t="n"/>
      <c r="D56" s="118" t="n"/>
      <c r="E56" s="117" t="n"/>
      <c r="F56" s="118" t="n"/>
      <c r="G56" s="107" t="n"/>
      <c r="H56" s="27" t="n">
        <v>10</v>
      </c>
      <c r="I56" s="117" t="n"/>
      <c r="J56" s="117" t="n"/>
      <c r="K56" s="117" t="n"/>
      <c r="L56" s="117" t="n"/>
      <c r="M56" s="117" t="n"/>
      <c r="N56" s="117" t="n"/>
      <c r="O56" s="117" t="n"/>
      <c r="P56" s="117" t="n"/>
      <c r="Q56" s="118" t="n"/>
      <c r="R56" s="118" t="n"/>
      <c r="S56" s="118" t="n"/>
      <c r="T56" s="118" t="n"/>
      <c r="U56" s="118" t="n"/>
      <c r="V56" s="117" t="n"/>
      <c r="W56" s="117" t="n"/>
      <c r="X56" s="117" t="n"/>
      <c r="Y56" s="117" t="n"/>
      <c r="Z56" s="117" t="n"/>
      <c r="AA56" s="117" t="n"/>
      <c r="AB56" s="117" t="n"/>
      <c r="AC56" s="117" t="n"/>
      <c r="AD56" s="119" t="n"/>
    </row>
    <row r="57" ht="25.5" customHeight="1">
      <c r="A57" s="34" t="n">
        <v>53</v>
      </c>
      <c r="B57" s="95" t="n"/>
      <c r="C57" s="118" t="n"/>
      <c r="D57" s="118" t="n"/>
      <c r="E57" s="117" t="n"/>
      <c r="F57" s="105" t="n"/>
      <c r="G57" s="108" t="n"/>
      <c r="H57" s="27" t="n">
        <v>11</v>
      </c>
      <c r="I57" s="117" t="n"/>
      <c r="J57" s="117" t="n"/>
      <c r="K57" s="117" t="n"/>
      <c r="L57" s="117" t="n"/>
      <c r="M57" s="117" t="n"/>
      <c r="N57" s="117" t="n"/>
      <c r="O57" s="117" t="n"/>
      <c r="P57" s="117" t="n"/>
      <c r="Q57" s="118" t="n"/>
      <c r="R57" s="118" t="n"/>
      <c r="S57" s="118" t="n"/>
      <c r="T57" s="118" t="n"/>
      <c r="U57" s="118" t="n"/>
      <c r="V57" s="117" t="n"/>
      <c r="W57" s="117" t="n"/>
      <c r="X57" s="117" t="n"/>
      <c r="Y57" s="117" t="n"/>
      <c r="Z57" s="117" t="n"/>
      <c r="AA57" s="117" t="n"/>
      <c r="AB57" s="117" t="n"/>
      <c r="AC57" s="117" t="n"/>
      <c r="AD57" s="119" t="n"/>
    </row>
    <row r="58" ht="25.5" customHeight="1">
      <c r="A58" s="34" t="n">
        <v>54</v>
      </c>
      <c r="B58" s="95" t="n"/>
      <c r="C58" s="118" t="n"/>
      <c r="D58" s="118" t="n"/>
      <c r="E58" s="117" t="n"/>
      <c r="F58" s="105" t="n"/>
      <c r="G58" s="108" t="n"/>
      <c r="H58" s="27" t="n">
        <v>12</v>
      </c>
      <c r="I58" s="117" t="n"/>
      <c r="J58" s="117" t="n"/>
      <c r="K58" s="117" t="n"/>
      <c r="L58" s="117" t="n"/>
      <c r="M58" s="117" t="n"/>
      <c r="N58" s="117" t="n"/>
      <c r="O58" s="117" t="n"/>
      <c r="P58" s="117" t="n"/>
      <c r="Q58" s="118" t="n"/>
      <c r="R58" s="118" t="n"/>
      <c r="S58" s="118" t="n"/>
      <c r="T58" s="118" t="n"/>
      <c r="U58" s="118" t="n"/>
      <c r="V58" s="117" t="n"/>
      <c r="W58" s="117" t="n"/>
      <c r="X58" s="118" t="n"/>
      <c r="Y58" s="118" t="n"/>
      <c r="Z58" s="118" t="n"/>
      <c r="AA58" s="118" t="n"/>
      <c r="AB58" s="118" t="n"/>
      <c r="AC58" s="118" t="n"/>
      <c r="AD58" s="119" t="n"/>
    </row>
    <row r="59" ht="25.5" customHeight="1">
      <c r="A59" s="34" t="n">
        <v>55</v>
      </c>
      <c r="B59" s="103" t="n"/>
      <c r="C59" s="118" t="n"/>
      <c r="D59" s="118" t="n"/>
      <c r="E59" s="118" t="n"/>
      <c r="F59" s="118" t="n"/>
      <c r="G59" s="107" t="n"/>
      <c r="H59" s="27" t="n">
        <v>13</v>
      </c>
      <c r="I59" s="117" t="n"/>
      <c r="J59" s="117" t="n"/>
      <c r="K59" s="117" t="n"/>
      <c r="L59" s="117" t="n"/>
      <c r="M59" s="117" t="n"/>
      <c r="N59" s="117" t="n"/>
      <c r="O59" s="117" t="n"/>
      <c r="P59" s="117" t="n"/>
      <c r="Q59" s="118" t="n"/>
      <c r="R59" s="118" t="n"/>
      <c r="S59" s="118" t="n"/>
      <c r="T59" s="118" t="n"/>
      <c r="U59" s="118" t="n"/>
      <c r="V59" s="117" t="n"/>
      <c r="W59" s="117" t="n"/>
      <c r="X59" s="118" t="n"/>
      <c r="Y59" s="118" t="n"/>
      <c r="Z59" s="118" t="n"/>
      <c r="AA59" s="118" t="n"/>
      <c r="AB59" s="118" t="n"/>
      <c r="AC59" s="118" t="n"/>
      <c r="AD59" s="119" t="n"/>
    </row>
    <row r="60" ht="25.5" customHeight="1">
      <c r="A60" s="34" t="n">
        <v>56</v>
      </c>
      <c r="B60" s="95" t="n"/>
      <c r="C60" s="118" t="n"/>
      <c r="D60" s="118" t="n"/>
      <c r="E60" s="117" t="n"/>
      <c r="F60" s="117" t="n"/>
      <c r="G60" s="109" t="n"/>
      <c r="H60" s="27" t="n">
        <v>14</v>
      </c>
      <c r="I60" s="117" t="n"/>
      <c r="J60" s="117" t="n"/>
      <c r="K60" s="117" t="n"/>
      <c r="L60" s="117" t="n"/>
      <c r="M60" s="117" t="n"/>
      <c r="N60" s="117" t="n"/>
      <c r="O60" s="117" t="n"/>
      <c r="P60" s="117" t="n"/>
      <c r="Q60" s="118" t="n"/>
      <c r="R60" s="118" t="n"/>
      <c r="S60" s="118" t="n"/>
      <c r="T60" s="118" t="n"/>
      <c r="U60" s="118" t="n"/>
      <c r="V60" s="117" t="n"/>
      <c r="W60" s="117" t="n"/>
      <c r="X60" s="118" t="n"/>
      <c r="Y60" s="122" t="n"/>
      <c r="Z60" s="122" t="n"/>
      <c r="AA60" s="122" t="n"/>
      <c r="AB60" s="122" t="n"/>
      <c r="AC60" s="122" t="n"/>
      <c r="AD60" s="119" t="n"/>
    </row>
    <row r="61" ht="25.5" customHeight="1">
      <c r="A61" s="34" t="n">
        <v>57</v>
      </c>
      <c r="B61" s="95" t="n"/>
      <c r="C61" s="118" t="n"/>
      <c r="D61" s="118" t="n"/>
      <c r="E61" s="117" t="n"/>
      <c r="F61" s="117" t="n"/>
      <c r="G61" s="109" t="n"/>
      <c r="H61" s="27" t="n">
        <v>15</v>
      </c>
      <c r="I61" s="117" t="n"/>
      <c r="J61" s="117" t="n"/>
      <c r="K61" s="117" t="n"/>
      <c r="L61" s="117" t="n"/>
      <c r="M61" s="117" t="n"/>
      <c r="N61" s="117" t="n"/>
      <c r="O61" s="117" t="n"/>
      <c r="P61" s="117" t="n"/>
      <c r="Q61" s="118" t="n"/>
      <c r="R61" s="118" t="n"/>
      <c r="S61" s="118" t="n"/>
      <c r="T61" s="118" t="n"/>
      <c r="U61" s="118" t="n"/>
      <c r="V61" s="117" t="n"/>
      <c r="W61" s="117" t="n"/>
      <c r="X61" s="122" t="n"/>
      <c r="Y61" s="122" t="n"/>
      <c r="Z61" s="122" t="n"/>
      <c r="AA61" s="122" t="n"/>
      <c r="AB61" s="122" t="n"/>
      <c r="AC61" s="122" t="n"/>
      <c r="AD61" s="119" t="n"/>
    </row>
    <row r="62" ht="25.5" customHeight="1">
      <c r="A62" s="34" t="n">
        <v>58</v>
      </c>
      <c r="B62" s="95" t="n"/>
      <c r="C62" s="118" t="n"/>
      <c r="D62" s="118" t="n"/>
      <c r="E62" s="117" t="n"/>
      <c r="F62" s="117" t="n"/>
      <c r="G62" s="109" t="n"/>
      <c r="H62" s="27" t="n">
        <v>16</v>
      </c>
      <c r="I62" s="118" t="n"/>
      <c r="J62" s="118" t="n"/>
      <c r="K62" s="118" t="n"/>
      <c r="L62" s="118" t="n"/>
      <c r="M62" s="118" t="n"/>
      <c r="N62" s="118" t="n"/>
      <c r="O62" s="118" t="n"/>
      <c r="P62" s="117" t="n"/>
      <c r="Q62" s="118" t="n"/>
      <c r="R62" s="118" t="n"/>
      <c r="S62" s="118" t="n"/>
      <c r="T62" s="118" t="n"/>
      <c r="U62" s="118" t="n"/>
      <c r="V62" s="117" t="n"/>
      <c r="W62" s="117" t="n"/>
      <c r="X62" s="122" t="n"/>
      <c r="Y62" s="122" t="n"/>
      <c r="Z62" s="122" t="n"/>
      <c r="AA62" s="122" t="n"/>
      <c r="AB62" s="122" t="n"/>
      <c r="AC62" s="122" t="n"/>
      <c r="AD62" s="119" t="n"/>
    </row>
    <row r="63" ht="25.5" customHeight="1">
      <c r="A63" s="34" t="n">
        <v>59</v>
      </c>
      <c r="B63" s="95" t="n"/>
      <c r="C63" s="118" t="n"/>
      <c r="D63" s="118" t="n"/>
      <c r="E63" s="117" t="n"/>
      <c r="F63" s="117" t="n"/>
      <c r="G63" s="109" t="n"/>
      <c r="H63" s="27" t="n">
        <v>17</v>
      </c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  <c r="R63" s="118" t="n"/>
      <c r="S63" s="118" t="n"/>
      <c r="T63" s="118" t="n"/>
      <c r="U63" s="118" t="n"/>
      <c r="V63" s="118" t="n"/>
      <c r="W63" s="118" t="n"/>
      <c r="X63" s="122" t="n"/>
      <c r="Y63" s="122" t="n"/>
      <c r="Z63" s="122" t="n"/>
      <c r="AA63" s="122" t="n"/>
      <c r="AB63" s="122" t="n"/>
      <c r="AC63" s="122" t="n"/>
      <c r="AD63" s="119" t="n"/>
    </row>
    <row r="64" ht="25.5" customHeight="1">
      <c r="A64" s="34" t="n">
        <v>60</v>
      </c>
      <c r="B64" s="95" t="n"/>
      <c r="C64" s="118" t="n"/>
      <c r="D64" s="118" t="n"/>
      <c r="E64" s="117" t="n"/>
      <c r="F64" s="117" t="n"/>
      <c r="G64" s="109" t="n"/>
      <c r="H64" s="27" t="n">
        <v>18</v>
      </c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7" t="n"/>
      <c r="R64" s="118" t="n"/>
      <c r="S64" s="118" t="n"/>
      <c r="T64" s="117" t="n"/>
      <c r="U64" s="118" t="n"/>
      <c r="V64" s="122" t="n"/>
      <c r="W64" s="122" t="n"/>
      <c r="X64" s="122" t="n"/>
      <c r="Y64" s="122" t="n"/>
      <c r="Z64" s="122" t="n"/>
      <c r="AA64" s="122" t="n"/>
      <c r="AB64" s="122" t="n"/>
      <c r="AC64" s="122" t="n"/>
      <c r="AD64" s="119" t="n"/>
    </row>
    <row r="65" ht="25.5" customHeight="1">
      <c r="A65" s="34" t="n">
        <v>61</v>
      </c>
      <c r="B65" s="95" t="n"/>
      <c r="C65" s="118" t="n"/>
      <c r="D65" s="118" t="n"/>
      <c r="E65" s="117" t="n"/>
      <c r="F65" s="117" t="n"/>
      <c r="G65" s="109" t="n"/>
      <c r="H65" s="27" t="n">
        <v>19</v>
      </c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7" t="n"/>
      <c r="R65" s="124" t="n"/>
      <c r="S65" s="118" t="n"/>
      <c r="T65" s="118" t="n"/>
      <c r="U65" s="118" t="n"/>
      <c r="V65" s="122" t="n"/>
      <c r="W65" s="122" t="n"/>
      <c r="X65" s="122" t="n"/>
      <c r="Y65" s="124" t="n"/>
      <c r="Z65" s="124" t="n"/>
      <c r="AA65" s="124" t="n"/>
      <c r="AB65" s="124" t="n"/>
      <c r="AC65" s="124" t="n"/>
      <c r="AD65" s="125" t="n"/>
    </row>
    <row r="66" ht="25.5" customHeight="1">
      <c r="A66" s="34" t="n">
        <v>62</v>
      </c>
      <c r="B66" s="95" t="n"/>
      <c r="C66" s="118" t="n"/>
      <c r="D66" s="118" t="n"/>
      <c r="E66" s="118" t="n"/>
      <c r="F66" s="118" t="n"/>
      <c r="G66" s="107" t="n"/>
      <c r="H66" s="27" t="n">
        <v>20</v>
      </c>
      <c r="I66" s="117" t="n"/>
      <c r="J66" s="117" t="n"/>
      <c r="K66" s="117" t="n"/>
      <c r="L66" s="117" t="n"/>
      <c r="M66" s="117" t="n"/>
      <c r="N66" s="117" t="n"/>
      <c r="O66" s="117" t="n"/>
      <c r="P66" s="117" t="n"/>
      <c r="Q66" s="118" t="n"/>
      <c r="R66" s="124" t="n"/>
      <c r="S66" s="118" t="n"/>
      <c r="T66" s="118" t="n"/>
      <c r="U66" s="118" t="n"/>
      <c r="V66" s="122" t="n"/>
      <c r="W66" s="122" t="n"/>
      <c r="X66" s="124" t="n"/>
      <c r="Y66" s="124" t="n"/>
      <c r="Z66" s="124" t="n"/>
      <c r="AA66" s="124" t="n"/>
      <c r="AB66" s="124" t="n"/>
      <c r="AC66" s="124" t="n"/>
      <c r="AD66" s="125" t="n"/>
    </row>
    <row r="67" ht="25.5" customHeight="1">
      <c r="A67" s="34" t="n">
        <v>63</v>
      </c>
      <c r="B67" s="95" t="n"/>
      <c r="C67" s="118" t="n"/>
      <c r="D67" s="118" t="n"/>
      <c r="E67" s="117" t="n"/>
      <c r="F67" s="105" t="n"/>
      <c r="G67" s="108" t="n"/>
      <c r="H67" s="27" t="n">
        <v>21</v>
      </c>
      <c r="I67" s="118" t="n"/>
      <c r="J67" s="118" t="n"/>
      <c r="K67" s="118" t="n"/>
      <c r="L67" s="118" t="n"/>
      <c r="M67" s="118" t="n"/>
      <c r="N67" s="118" t="n"/>
      <c r="O67" s="117" t="n"/>
      <c r="P67" s="124" t="n"/>
      <c r="Q67" s="118" t="n"/>
      <c r="R67" s="124" t="n"/>
      <c r="S67" s="126" t="n"/>
      <c r="T67" s="126" t="n"/>
      <c r="U67" s="126" t="n"/>
      <c r="V67" s="127" t="n"/>
      <c r="W67" s="127" t="n"/>
      <c r="X67" s="124" t="n"/>
      <c r="Y67" s="118" t="n"/>
      <c r="Z67" s="118" t="n"/>
      <c r="AA67" s="118" t="n"/>
      <c r="AB67" s="118" t="n"/>
      <c r="AC67" s="117" t="n"/>
      <c r="AD67" s="125" t="n"/>
    </row>
    <row r="68" ht="25.5" customHeight="1" thickBot="1">
      <c r="A68" s="58" t="n">
        <v>64</v>
      </c>
      <c r="B68" s="110" t="n"/>
      <c r="C68" s="111" t="n"/>
      <c r="D68" s="111" t="n"/>
      <c r="E68" s="112" t="n"/>
      <c r="F68" s="113" t="n"/>
      <c r="G68" s="114" t="n"/>
      <c r="H68" s="57" t="n">
        <v>22</v>
      </c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8" t="n"/>
      <c r="U68" s="128" t="n"/>
      <c r="V68" s="128" t="n"/>
      <c r="W68" s="128" t="n"/>
      <c r="X68" s="128" t="n"/>
      <c r="Y68" s="128" t="n"/>
      <c r="Z68" s="128" t="n"/>
      <c r="AA68" s="128" t="n"/>
      <c r="AB68" s="128" t="n"/>
      <c r="AC68" s="128" t="n"/>
      <c r="AD68" s="129" t="n"/>
    </row>
    <row r="71">
      <c r="B71" s="59" t="n"/>
    </row>
  </sheetData>
  <mergeCells count="24">
    <mergeCell ref="I33:AD33"/>
    <mergeCell ref="A1:G2"/>
    <mergeCell ref="I42:AD42"/>
    <mergeCell ref="I39:AD39"/>
    <mergeCell ref="I35:AD35"/>
    <mergeCell ref="I44:AD44"/>
    <mergeCell ref="I29:AD29"/>
    <mergeCell ref="I38:AD38"/>
    <mergeCell ref="H25:AD25"/>
    <mergeCell ref="I31:AD31"/>
    <mergeCell ref="I40:AD40"/>
    <mergeCell ref="I34:AD34"/>
    <mergeCell ref="I30:AD30"/>
    <mergeCell ref="I46:AD46"/>
    <mergeCell ref="I36:AD36"/>
    <mergeCell ref="I27:AD27"/>
    <mergeCell ref="I45:AD45"/>
    <mergeCell ref="I26:AD26"/>
    <mergeCell ref="H1:AD2"/>
    <mergeCell ref="I41:AD41"/>
    <mergeCell ref="I32:AD32"/>
    <mergeCell ref="I28:AD28"/>
    <mergeCell ref="I37:AD37"/>
    <mergeCell ref="I43:AD43"/>
  </mergeCells>
  <printOptions horizontalCentered="1"/>
  <pageMargins left="0" right="0" top="0.196527777777778" bottom="0" header="0.511811023622047" footer="0.511811023622047"/>
  <pageSetup orientation="landscape" paperSize="9" scale="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2026-10-08T02:52:08Z</dcterms:created>
  <dcterms:modified xmlns:dcterms="http://purl.org/dc/terms/" xmlns:xsi="http://www.w3.org/2001/XMLSchema-instance" xsi:type="dcterms:W3CDTF">2026-10-08T04:57:34Z</dcterms:modified>
  <cp:lastModifiedBy>Коркенбаев Марат Жалгасбекович</cp:lastModifiedBy>
  <cp:revision>0</cp:revision>
  <cp:lastPrinted>2026-10-08T03:58:26Z</cp:lastPrinted>
</cp:coreProperties>
</file>