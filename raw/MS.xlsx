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R:\ДТТ\Диспетчер\Сводки Ерлан - Бауыржан\"/>
    </mc:Choice>
  </mc:AlternateContent>
  <xr:revisionPtr revIDLastSave="0" documentId="13_ncr:1_{280D3D1F-BDBB-4C1A-BD65-EC54B9041147}" xr6:coauthVersionLast="47" xr6:coauthVersionMax="47" xr10:uidLastSave="{00000000-0000-0000-0000-000000000000}"/>
  <bookViews>
    <workbookView xWindow="-108" yWindow="-108" windowWidth="30936" windowHeight="16896" activeTab="13" xr2:uid="{00000000-000D-0000-FFFF-FFFF00000000}"/>
  </bookViews>
  <sheets>
    <sheet name="1" sheetId="2" r:id="rId1"/>
    <sheet name="2" sheetId="75" r:id="rId2"/>
    <sheet name="3" sheetId="76" r:id="rId3"/>
    <sheet name="4" sheetId="77" r:id="rId4"/>
    <sheet name="5" sheetId="78" r:id="rId5"/>
    <sheet name="6" sheetId="79" r:id="rId6"/>
    <sheet name="7" sheetId="80" r:id="rId7"/>
    <sheet name="8" sheetId="81" r:id="rId8"/>
    <sheet name="9" sheetId="82" r:id="rId9"/>
    <sheet name="10" sheetId="83" r:id="rId10"/>
    <sheet name="11" sheetId="84" r:id="rId11"/>
    <sheet name="12" sheetId="85" r:id="rId12"/>
    <sheet name="13" sheetId="86" r:id="rId13"/>
    <sheet name="14" sheetId="8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2" i="82" l="1"/>
  <c r="G62" i="81"/>
  <c r="G62" i="80"/>
  <c r="G62" i="79"/>
  <c r="G62" i="78"/>
  <c r="G62" i="77" l="1"/>
  <c r="G62" i="76" l="1"/>
  <c r="G62" i="7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H4" authorId="0" shapeId="0" xr:uid="{E1678F51-B291-469C-9B5B-737656770E03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күнге, 44 сағат
25-09-2026 бастады түстен кейін.</t>
        </r>
      </text>
    </comment>
    <comment ref="B57" authorId="0" shapeId="0" xr:uid="{F24BA18A-B69E-4795-BD32-4127CD68F943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H4" authorId="0" shapeId="0" xr:uid="{900B3CA3-1858-4644-8CB6-517C165C7882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күнге, 44 сағат
25-09-2026 бастады түстен кейін.</t>
        </r>
      </text>
    </comment>
    <comment ref="B57" authorId="0" shapeId="0" xr:uid="{FA21DBD6-702E-4A8A-BAA7-9B1DC267A547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E0C77BF1-A0FE-4D53-83BA-C1388C967946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054A0F2D-5D56-49D0-9612-27F87EB71981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49025F3A-DC5B-43C2-9A99-3795B281115F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1D07E7CF-DFC7-4019-A50C-5D185008568C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29899AE4-52AB-48F6-8811-55C9FD834C8D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14942A1E-96F4-40DC-8474-C4F4734FD040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234B48B7-CA8B-4A67-95A1-AFDFA49A4242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4521BB7A-0467-4F10-A499-853EF875F88C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434BF7E3-B463-4E95-97AC-9EA7E6AD3F0A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997B7B64-3A48-4264-A882-0DF0A76990DD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ADB26EDF-2948-4678-90BB-723F41CD1DB1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A498641B-6091-4028-9F77-BF5274CA418F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5031D530-A46C-43B0-960A-868C056BDF27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F88553D2-EA35-41D6-A3A1-03791F6F222B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5D2EE3B7-AF98-4F98-8DEA-456C439209D3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716D977C-E844-4233-A7A8-F47EC5B8FBFC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FEE1D01E-AA7A-4427-8A90-CE2B48929A27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506E25C7-9A1B-423D-9EAA-722B3A84D1C2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9EB61175-F4B0-42F5-B41B-D28FF3B18B9F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72A6C6CA-B79E-45D0-B3F4-72A1528CD08E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54FE8974-760A-41C1-9063-DFAC32DD42F5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99CA011F-FF3B-4AB2-AA93-927AEAEF4FAB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Кайлюбаев Ерлан Сейтканулы</author>
  </authors>
  <commentList>
    <comment ref="J11" authorId="0" shapeId="0" xr:uid="{8896D6FA-4023-4649-AFC0-1B4474D47FB6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03-10-2026 бастап қосылды обновление</t>
        </r>
      </text>
    </comment>
    <comment ref="B57" authorId="0" shapeId="0" xr:uid="{F92CA02A-A2E4-4CDE-BE11-9E668A16D84D}">
      <text>
        <r>
          <rPr>
            <b/>
            <sz val="9"/>
            <color indexed="81"/>
            <rFont val="Tahoma"/>
            <family val="2"/>
            <charset val="204"/>
          </rPr>
          <t>Кайлюбаев Ерлан Сейтканулы:</t>
        </r>
        <r>
          <rPr>
            <sz val="9"/>
            <color indexed="81"/>
            <rFont val="Tahoma"/>
            <family val="2"/>
            <charset val="204"/>
          </rPr>
          <t xml:space="preserve">
Келісім шарт 10 күнге
25-09-2026 бастады түстен кейін.</t>
        </r>
      </text>
    </comment>
  </commentList>
</comments>
</file>

<file path=xl/sharedStrings.xml><?xml version="1.0" encoding="utf-8"?>
<sst xmlns="http://schemas.openxmlformats.org/spreadsheetml/2006/main" count="4288" uniqueCount="326">
  <si>
    <t>№</t>
  </si>
  <si>
    <t xml:space="preserve">ТБ    Экология ПЧ         </t>
  </si>
  <si>
    <t xml:space="preserve">ЦДН   № 1             </t>
  </si>
  <si>
    <t xml:space="preserve"> ЦДН № 2</t>
  </si>
  <si>
    <t>ЦДН № 3</t>
  </si>
  <si>
    <t xml:space="preserve"> ЦППД    </t>
  </si>
  <si>
    <t xml:space="preserve"> ЦПС</t>
  </si>
  <si>
    <t xml:space="preserve">ЦИТС </t>
  </si>
  <si>
    <t xml:space="preserve"> ИГУ ОТР</t>
  </si>
  <si>
    <t xml:space="preserve"> Электро                цех</t>
  </si>
  <si>
    <t xml:space="preserve">ПРЦЭО </t>
  </si>
  <si>
    <t xml:space="preserve"> ОКС</t>
  </si>
  <si>
    <t>ДБ и ПКРС (КРС-1)</t>
  </si>
  <si>
    <t xml:space="preserve"> Бурение</t>
  </si>
  <si>
    <t xml:space="preserve">ЦПП </t>
  </si>
  <si>
    <t xml:space="preserve">  ЦАП</t>
  </si>
  <si>
    <t xml:space="preserve"> РСЦ</t>
  </si>
  <si>
    <t>в ожидании переезда и резерв</t>
  </si>
  <si>
    <t>60-20-751AY12</t>
  </si>
  <si>
    <t>60-13-938BF12</t>
  </si>
  <si>
    <t>60-13-925AUA12</t>
  </si>
  <si>
    <t>60-13-314ВD12д/н</t>
  </si>
  <si>
    <t>60-13-091MA12</t>
  </si>
  <si>
    <t>60-13-028AU12</t>
  </si>
  <si>
    <t>60-13-921BC12д/н</t>
  </si>
  <si>
    <t xml:space="preserve">60-13-096YX12 </t>
  </si>
  <si>
    <t>60-13-299АT12</t>
  </si>
  <si>
    <t>60-13-184AV12д/н</t>
  </si>
  <si>
    <t>60-13-183AV12</t>
  </si>
  <si>
    <t>60-13-448АI12д/н</t>
  </si>
  <si>
    <t>60-13-174BKO02</t>
  </si>
  <si>
    <t>60-13-769ВС12</t>
  </si>
  <si>
    <t>60-13-515LMA12</t>
  </si>
  <si>
    <t>60-13-836BH12</t>
  </si>
  <si>
    <t>60-13-540AР12</t>
  </si>
  <si>
    <t>60-20-824ВС12</t>
  </si>
  <si>
    <t>60-13-149AV12</t>
  </si>
  <si>
    <t>60-13-134AV12</t>
  </si>
  <si>
    <t>60-13-023AU12</t>
  </si>
  <si>
    <t>60-13-073ALB12</t>
  </si>
  <si>
    <t>60-13-246АT12</t>
  </si>
  <si>
    <t>60-13-352AY12</t>
  </si>
  <si>
    <t>60-13-598BD12</t>
  </si>
  <si>
    <t>60-13-472АКМ12</t>
  </si>
  <si>
    <t>60-13-734AP12</t>
  </si>
  <si>
    <t>60-13-881AW12</t>
  </si>
  <si>
    <t>60-13-255AY12</t>
  </si>
  <si>
    <t>60-13-273AL12</t>
  </si>
  <si>
    <t>60-13-784ВС12</t>
  </si>
  <si>
    <t>60-13-959AR12</t>
  </si>
  <si>
    <t>60-13-728AP12</t>
  </si>
  <si>
    <t>60-13-070ZER12</t>
  </si>
  <si>
    <t>60-13-433AY12</t>
  </si>
  <si>
    <t>60-13-899АR12</t>
  </si>
  <si>
    <t>Газ.цех</t>
  </si>
  <si>
    <t>ЦИТС диспетчер</t>
  </si>
  <si>
    <t>ОТДН</t>
  </si>
  <si>
    <t>60-13-745AKY12</t>
  </si>
  <si>
    <t>60-13-369BD12</t>
  </si>
  <si>
    <t>60-13-796BC12</t>
  </si>
  <si>
    <t>60-13-976AR12</t>
  </si>
  <si>
    <t>60-13-026AU12</t>
  </si>
  <si>
    <t>60-13-785BC12</t>
  </si>
  <si>
    <t>60-13-856AKO12</t>
  </si>
  <si>
    <t>60-13-745ВС12</t>
  </si>
  <si>
    <t>60-13-179AKV12</t>
  </si>
  <si>
    <t>60-13-517ВС12</t>
  </si>
  <si>
    <t>60-13-439ABP12</t>
  </si>
  <si>
    <t>60-13-472АКР12</t>
  </si>
  <si>
    <t>60-13-095AY12</t>
  </si>
  <si>
    <t>ЦИТС тех простой</t>
  </si>
  <si>
    <t>60-13-497AY12</t>
  </si>
  <si>
    <t>60-13-754AY12</t>
  </si>
  <si>
    <t>60-13-618AYC01</t>
  </si>
  <si>
    <t>60-13-816AKU12</t>
  </si>
  <si>
    <t>60-13-577ACP12</t>
  </si>
  <si>
    <t>60-13-476AY12</t>
  </si>
  <si>
    <t>60-13-087ALB12</t>
  </si>
  <si>
    <t>60-13-759ALN12</t>
  </si>
  <si>
    <t>60-13-793BC12</t>
  </si>
  <si>
    <t>60-13-847AYC01</t>
  </si>
  <si>
    <t>60-13-488AKX12</t>
  </si>
  <si>
    <t>60-13-928BC12</t>
  </si>
  <si>
    <t>60-13-230AKU12</t>
  </si>
  <si>
    <t>ПСО</t>
  </si>
  <si>
    <t>60-13-178AV12</t>
  </si>
  <si>
    <t>60-13-233АКZ12</t>
  </si>
  <si>
    <t>60-13-885BF12</t>
  </si>
  <si>
    <t>60-13-251AY12</t>
  </si>
  <si>
    <t xml:space="preserve">60-13-955AZ12 </t>
  </si>
  <si>
    <t>60-13-513BD12</t>
  </si>
  <si>
    <t>60-20-835AQ12</t>
  </si>
  <si>
    <t>60-13-431АY12</t>
  </si>
  <si>
    <t>МПГУ-8</t>
  </si>
  <si>
    <t>60-13-031BE12</t>
  </si>
  <si>
    <t>60-13-948BC12</t>
  </si>
  <si>
    <t>60-13-942BC12</t>
  </si>
  <si>
    <t>60-13-729АКG12</t>
  </si>
  <si>
    <t>60-20-841AQ12</t>
  </si>
  <si>
    <t>60-13-311AT12</t>
  </si>
  <si>
    <t>Эколог</t>
  </si>
  <si>
    <t>60-13-740BC12</t>
  </si>
  <si>
    <t>60-13-075AС12</t>
  </si>
  <si>
    <t>60-20-816BH12</t>
  </si>
  <si>
    <t>60-13-536BA12</t>
  </si>
  <si>
    <t>60-13-688АIS12</t>
  </si>
  <si>
    <t>60-13-170BKO02</t>
  </si>
  <si>
    <t>60-13-839AKX12</t>
  </si>
  <si>
    <t>60-13-959AS12</t>
  </si>
  <si>
    <t>60-20-803AQ12</t>
  </si>
  <si>
    <t>КРС-2</t>
  </si>
  <si>
    <t>5+2</t>
  </si>
  <si>
    <t>60-13-256AKW12</t>
  </si>
  <si>
    <t>60-13-978BC12</t>
  </si>
  <si>
    <t>6+1</t>
  </si>
  <si>
    <t>60-20-826BC12</t>
  </si>
  <si>
    <t>ЦТВС (РЭО)</t>
  </si>
  <si>
    <t>УЖЭО</t>
  </si>
  <si>
    <t>60-20-834ВС12</t>
  </si>
  <si>
    <t>60-13-185AT12</t>
  </si>
  <si>
    <t>60-40-093AS12</t>
  </si>
  <si>
    <t>От кадр</t>
  </si>
  <si>
    <t>60-20-320ВЕ12</t>
  </si>
  <si>
    <t>60-13-125AL12</t>
  </si>
  <si>
    <t>60-40-754AEX12</t>
  </si>
  <si>
    <t>ЛД</t>
  </si>
  <si>
    <t>ЦНИПР</t>
  </si>
  <si>
    <t>60-20-904BС12</t>
  </si>
  <si>
    <t>60-13-091YS12</t>
  </si>
  <si>
    <t>60-40-136AT12</t>
  </si>
  <si>
    <t>60-13-015AJK12</t>
  </si>
  <si>
    <t>60-13-956AR12</t>
  </si>
  <si>
    <t>60-20-383BE12</t>
  </si>
  <si>
    <t>60-40-383AAY12</t>
  </si>
  <si>
    <t>60-13-607BD12</t>
  </si>
  <si>
    <t>СПГУ-18</t>
  </si>
  <si>
    <t>ДНС</t>
  </si>
  <si>
    <t>ПЧ</t>
  </si>
  <si>
    <t>60-16-665AО12</t>
  </si>
  <si>
    <t>ОБ ПКРС</t>
  </si>
  <si>
    <t>УПТОК</t>
  </si>
  <si>
    <t>Гараж-2</t>
  </si>
  <si>
    <t>60-13-258AY12</t>
  </si>
  <si>
    <t>60-13-383ВА12</t>
  </si>
  <si>
    <t>60-16-390AL12</t>
  </si>
  <si>
    <t>60-13-795BEF02д/н</t>
  </si>
  <si>
    <t>60-13-649ВE12</t>
  </si>
  <si>
    <t>ОМ</t>
  </si>
  <si>
    <t>60-13-886PHA12</t>
  </si>
  <si>
    <t>60-13-196AY12д/н</t>
  </si>
  <si>
    <t>60-20-821BH12</t>
  </si>
  <si>
    <t>60-13-164AV12</t>
  </si>
  <si>
    <t>60-16-637AP12</t>
  </si>
  <si>
    <t>60-13-068YS12д/н</t>
  </si>
  <si>
    <t>60-20-840AQ12</t>
  </si>
  <si>
    <t>13+8</t>
  </si>
  <si>
    <t>60-13-097YS12</t>
  </si>
  <si>
    <t>60-20-834BH12</t>
  </si>
  <si>
    <t>60-13-082MA12</t>
  </si>
  <si>
    <t>60-13-795BC12</t>
  </si>
  <si>
    <t>4+4</t>
  </si>
  <si>
    <t>9+4</t>
  </si>
  <si>
    <t>13+5</t>
  </si>
  <si>
    <t>10+1</t>
  </si>
  <si>
    <t>Для ISR  пикап</t>
  </si>
  <si>
    <t>ЦДН-1</t>
  </si>
  <si>
    <t>ЦДН-2</t>
  </si>
  <si>
    <t>ПРЦЭО</t>
  </si>
  <si>
    <t>РСЦ</t>
  </si>
  <si>
    <t>60-13-877AR12</t>
  </si>
  <si>
    <t>60-13-869BH12</t>
  </si>
  <si>
    <t>60-13-940AJK12</t>
  </si>
  <si>
    <t>60-13-970АR12</t>
  </si>
  <si>
    <t>Для ISR автобус</t>
  </si>
  <si>
    <t>60-20-830AQ12</t>
  </si>
  <si>
    <t>60-20-827ВС12</t>
  </si>
  <si>
    <t>Жеңіл көлік шығуы</t>
  </si>
  <si>
    <t>Менеджер произ. участ. №5</t>
  </si>
  <si>
    <t>ӨБ</t>
  </si>
  <si>
    <t xml:space="preserve">Диспетчер  </t>
  </si>
  <si>
    <t xml:space="preserve"> Асхат-Құралбек</t>
  </si>
  <si>
    <t>күн</t>
  </si>
  <si>
    <t>жоспар</t>
  </si>
  <si>
    <t>нақты</t>
  </si>
  <si>
    <t>айырма</t>
  </si>
  <si>
    <t>Себебі</t>
  </si>
  <si>
    <t>ДБ и ПКРС (ТМС)</t>
  </si>
  <si>
    <t>түн</t>
  </si>
  <si>
    <t>нач участка</t>
  </si>
  <si>
    <t>Қайрат</t>
  </si>
  <si>
    <t>Асхат</t>
  </si>
  <si>
    <t>Иван</t>
  </si>
  <si>
    <t>Құралбек</t>
  </si>
  <si>
    <t>ЖАЛПЫ:</t>
  </si>
  <si>
    <t>Ауыр көлік шығу</t>
  </si>
  <si>
    <t>Кран 100т жоспар 30 кун,</t>
  </si>
  <si>
    <t>префикс</t>
  </si>
  <si>
    <t>ЖШС "МОБИЛ СЕРВИС ГРУПП" мекемесінің 2026ж жоспары  және нақты техника шығуы</t>
  </si>
  <si>
    <t>түрі</t>
  </si>
  <si>
    <t>көлік саны</t>
  </si>
  <si>
    <t>жоспар күн</t>
  </si>
  <si>
    <t>жоспар түн</t>
  </si>
  <si>
    <t>күн/түн</t>
  </si>
  <si>
    <t>жөндеудің орнына</t>
  </si>
  <si>
    <t>жөндеуде</t>
  </si>
  <si>
    <t>себеп</t>
  </si>
  <si>
    <t>резерв</t>
  </si>
  <si>
    <t>60-20-161AV12</t>
  </si>
  <si>
    <t xml:space="preserve">Пикап  </t>
  </si>
  <si>
    <t>60-20-151AV12</t>
  </si>
  <si>
    <t>Бортовой</t>
  </si>
  <si>
    <t>Микро автобус</t>
  </si>
  <si>
    <t>автобус</t>
  </si>
  <si>
    <t>Кран 70т</t>
  </si>
  <si>
    <t>Манипулятор</t>
  </si>
  <si>
    <t>Мусоровоз</t>
  </si>
  <si>
    <t>Кран 100т</t>
  </si>
  <si>
    <t>жоспар 31 кун</t>
  </si>
  <si>
    <t>Всего</t>
  </si>
  <si>
    <t>60-13-850AS12</t>
  </si>
  <si>
    <t>60-16-544АР12</t>
  </si>
  <si>
    <t>60-13-835BH12</t>
  </si>
  <si>
    <t>4+1</t>
  </si>
  <si>
    <t>13+3</t>
  </si>
  <si>
    <t>9+3</t>
  </si>
  <si>
    <t>4+2</t>
  </si>
  <si>
    <t>60-13-609BSE02</t>
  </si>
  <si>
    <t>60-13-024AU12</t>
  </si>
  <si>
    <t>60-13-989BC12</t>
  </si>
  <si>
    <t>60-13-938BC12</t>
  </si>
  <si>
    <t>60-13-791ВС12</t>
  </si>
  <si>
    <t>60-13-896АR12</t>
  </si>
  <si>
    <t>60-13-825AKY12</t>
  </si>
  <si>
    <t>60-13-014AU12</t>
  </si>
  <si>
    <t>60-13-015YX12</t>
  </si>
  <si>
    <t>60-13-988BC12</t>
  </si>
  <si>
    <t>60-13-233AT12</t>
  </si>
  <si>
    <t>60-13-192AL12</t>
  </si>
  <si>
    <t>60-13-043AZ12</t>
  </si>
  <si>
    <t>60-13-045AT12</t>
  </si>
  <si>
    <t>60-13-331AT12</t>
  </si>
  <si>
    <t>60-13-983АS12</t>
  </si>
  <si>
    <t>60-13-937AY12</t>
  </si>
  <si>
    <t>60-13-453BD12</t>
  </si>
  <si>
    <t>60-13-731AP12</t>
  </si>
  <si>
    <t>60-13-779ALC12</t>
  </si>
  <si>
    <t>60-13-092MA12</t>
  </si>
  <si>
    <t>60-27-131AP12</t>
  </si>
  <si>
    <t>60-13-792ВС12</t>
  </si>
  <si>
    <t>60-13-231AT12</t>
  </si>
  <si>
    <t>60-13-187AV12</t>
  </si>
  <si>
    <t>60-20-719BJ12</t>
  </si>
  <si>
    <t>60-13-587BJ12д/н</t>
  </si>
  <si>
    <t>60-20-504BJ12</t>
  </si>
  <si>
    <t>60-13-364BH12</t>
  </si>
  <si>
    <t>60-13-632BJ12</t>
  </si>
  <si>
    <t>60-20-948BH12</t>
  </si>
  <si>
    <t>60-13-476BH12</t>
  </si>
  <si>
    <t>60-13-987AR12</t>
  </si>
  <si>
    <t>60-13-051AT12</t>
  </si>
  <si>
    <t>60-13-941BC12</t>
  </si>
  <si>
    <t>60-13-417BX</t>
  </si>
  <si>
    <t>60-13-803BJ12</t>
  </si>
  <si>
    <t>60-13-729AP12</t>
  </si>
  <si>
    <t>60-13-963АR12</t>
  </si>
  <si>
    <t>60-13-209AT12</t>
  </si>
  <si>
    <t>60-13-975АR12</t>
  </si>
  <si>
    <t>60-13-763BC12</t>
  </si>
  <si>
    <t>60-13-839BH12</t>
  </si>
  <si>
    <t>60-13-021AU12</t>
  </si>
  <si>
    <t>60-13-545ВА12</t>
  </si>
  <si>
    <t>60-13-148AN12</t>
  </si>
  <si>
    <t>60-13-096YS12</t>
  </si>
  <si>
    <t>60-13-530BD12</t>
  </si>
  <si>
    <t>60-13-974АR12</t>
  </si>
  <si>
    <t>60-13-094YS12</t>
  </si>
  <si>
    <t>60-13-459BD12</t>
  </si>
  <si>
    <t>60-13-764BC12</t>
  </si>
  <si>
    <t>60-13-692BO</t>
  </si>
  <si>
    <t>60-13-967АR12</t>
  </si>
  <si>
    <t>60-13-187AW12</t>
  </si>
  <si>
    <t>60-13-074YX12</t>
  </si>
  <si>
    <t>60-13-452BD12</t>
  </si>
  <si>
    <t>60-13-862BE12</t>
  </si>
  <si>
    <t>60-13-736AY12</t>
  </si>
  <si>
    <t>60-13-907AS12</t>
  </si>
  <si>
    <t>60-13-932BC12</t>
  </si>
  <si>
    <t>60-38-635AI12</t>
  </si>
  <si>
    <t>АГП</t>
  </si>
  <si>
    <t>60-27-067BT</t>
  </si>
  <si>
    <t>60-13-258AL12д/н</t>
  </si>
  <si>
    <t>ремонт</t>
  </si>
  <si>
    <t>60-13-024AU12н</t>
  </si>
  <si>
    <t>60-13-989BC12н</t>
  </si>
  <si>
    <t>60-13-938BC12н</t>
  </si>
  <si>
    <t>60-13-791ВС12н</t>
  </si>
  <si>
    <t>60-13-825AKY12н</t>
  </si>
  <si>
    <t>60-13-015YX12н</t>
  </si>
  <si>
    <t>60-13-987AR12н</t>
  </si>
  <si>
    <t>60-13-051AT12н</t>
  </si>
  <si>
    <t>60-13-476BH12н</t>
  </si>
  <si>
    <t>60-13-988BC12н</t>
  </si>
  <si>
    <t>60-13-233AT12н</t>
  </si>
  <si>
    <t>60-13-045AT12н</t>
  </si>
  <si>
    <t>60-13-417BXн</t>
  </si>
  <si>
    <t>60-13-331AT12н</t>
  </si>
  <si>
    <t>60-13-983АS12н</t>
  </si>
  <si>
    <t>60-13-862BE12н</t>
  </si>
  <si>
    <t>60-13-937AY12н</t>
  </si>
  <si>
    <t>60-13-803BJ12н</t>
  </si>
  <si>
    <t>60-13-963АR12н</t>
  </si>
  <si>
    <t>60-27-131AP12н</t>
  </si>
  <si>
    <t>60-13-967АR12н</t>
  </si>
  <si>
    <t>60-13-187AW12н</t>
  </si>
  <si>
    <t>60-27-635AV12</t>
  </si>
  <si>
    <t>60-13-074YX12н</t>
  </si>
  <si>
    <t>60-13-792ВС12н</t>
  </si>
  <si>
    <t>60-13-231AT12н</t>
  </si>
  <si>
    <t>60-13-187AV12н</t>
  </si>
  <si>
    <t>60-13-975АR12н</t>
  </si>
  <si>
    <t>Кран 100т жоспар 30 кун, мусоровоз ремонт</t>
  </si>
  <si>
    <t>60-13-258AL12</t>
  </si>
  <si>
    <t>60-13-625AKG12д/н</t>
  </si>
  <si>
    <t>60-13-192AL12д/н</t>
  </si>
  <si>
    <t xml:space="preserve">60-13-625AKG12 </t>
  </si>
  <si>
    <t>60-13-187AW12д/н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</si>
</sst>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color indexed="56"/>
      <name val="Arial"/>
      <family val="2"/>
      <charset val="204"/>
    </font>
    <font>
      <b/>
      <sz val="10"/>
      <color indexed="10"/>
      <name val="Arial"/>
      <family val="2"/>
      <charset val="204"/>
    </font>
    <font>
      <b/>
      <u/>
      <sz val="10"/>
      <color indexed="17"/>
      <name val="Arial"/>
      <family val="2"/>
      <charset val="204"/>
    </font>
    <font>
      <b/>
      <u/>
      <sz val="10"/>
      <name val="Arial"/>
      <family val="2"/>
      <charset val="204"/>
    </font>
    <font>
      <b/>
      <sz val="10"/>
      <color indexed="18"/>
      <name val="Arial"/>
      <family val="2"/>
      <charset val="204"/>
    </font>
    <font>
      <b/>
      <sz val="10"/>
      <color indexed="12"/>
      <name val="Arial"/>
      <family val="2"/>
      <charset val="204"/>
    </font>
    <font>
      <b/>
      <sz val="10"/>
      <color indexed="17"/>
      <name val="Arial"/>
      <family val="2"/>
      <charset val="204"/>
    </font>
    <font>
      <b/>
      <sz val="8"/>
      <color indexed="57"/>
      <name val="Arial"/>
      <family val="2"/>
      <charset val="204"/>
    </font>
    <font>
      <b/>
      <sz val="8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1"/>
      <color indexed="8"/>
      <name val="Calibri"/>
      <family val="2"/>
    </font>
    <font>
      <sz val="10"/>
      <name val="Arial Cyr"/>
      <charset val="204"/>
    </font>
    <font>
      <sz val="11"/>
      <color theme="1"/>
      <name val="Calibri"/>
      <family val="2"/>
      <scheme val="minor"/>
    </font>
    <font>
      <b/>
      <sz val="10"/>
      <color rgb="FF0000FF"/>
      <name val="Arial"/>
      <family val="2"/>
      <charset val="204"/>
    </font>
    <font>
      <u/>
      <sz val="10"/>
      <color rgb="FF0000FF"/>
      <name val="Arial"/>
      <family val="2"/>
      <charset val="204"/>
    </font>
    <font>
      <b/>
      <u/>
      <sz val="10"/>
      <color rgb="FF0000FF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rgb="FF008000"/>
      <name val="Arial"/>
      <family val="2"/>
      <charset val="204"/>
    </font>
    <font>
      <sz val="10"/>
      <color rgb="FF0000FF"/>
      <name val="Arial"/>
      <family val="2"/>
      <charset val="204"/>
    </font>
    <font>
      <sz val="10"/>
      <color rgb="FFC00000"/>
      <name val="Arial"/>
      <family val="2"/>
      <charset val="204"/>
    </font>
    <font>
      <b/>
      <sz val="10"/>
      <color rgb="FFC00000"/>
      <name val="Arial"/>
      <family val="2"/>
      <charset val="204"/>
    </font>
    <font>
      <b/>
      <sz val="10"/>
      <color rgb="FF800000"/>
      <name val="Arial"/>
      <family val="2"/>
      <charset val="204"/>
    </font>
    <font>
      <b/>
      <u/>
      <sz val="10"/>
      <color rgb="FF00800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0"/>
      <color indexed="10"/>
      <name val="Arial"/>
      <family val="2"/>
      <charset val="204"/>
    </font>
    <font>
      <sz val="10"/>
      <color rgb="FF008000"/>
      <name val="Arial"/>
      <family val="2"/>
      <charset val="204"/>
    </font>
    <font>
      <b/>
      <sz val="10"/>
      <color theme="5" tint="-0.499984740745262"/>
      <name val="Arial"/>
      <family val="2"/>
      <charset val="204"/>
    </font>
    <font>
      <b/>
      <sz val="10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8">
    <xf numFmtId="0" fontId="0" fillId="0" borderId="0"/>
    <xf numFmtId="0" fontId="8" fillId="0" borderId="0"/>
    <xf numFmtId="0" fontId="8" fillId="0" borderId="0"/>
    <xf numFmtId="0" fontId="11" fillId="0" borderId="0"/>
    <xf numFmtId="0" fontId="23" fillId="0" borderId="0"/>
    <xf numFmtId="0" fontId="23" fillId="0" borderId="0"/>
    <xf numFmtId="0" fontId="7" fillId="0" borderId="0"/>
    <xf numFmtId="0" fontId="24" fillId="0" borderId="0"/>
    <xf numFmtId="0" fontId="24" fillId="0" borderId="0"/>
    <xf numFmtId="0" fontId="22" fillId="0" borderId="0"/>
    <xf numFmtId="0" fontId="22" fillId="0" borderId="0"/>
    <xf numFmtId="0" fontId="6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72"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8" fillId="0" borderId="1" xfId="1" applyBorder="1" applyAlignment="1">
      <alignment horizontal="center" vertical="center"/>
    </xf>
    <xf numFmtId="0" fontId="10" fillId="0" borderId="1" xfId="1" applyFont="1" applyBorder="1"/>
    <xf numFmtId="0" fontId="10" fillId="0" borderId="1" xfId="3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13" fillId="0" borderId="1" xfId="3" applyFont="1" applyBorder="1" applyAlignment="1">
      <alignment horizontal="center" vertical="center" wrapText="1"/>
    </xf>
    <xf numFmtId="0" fontId="10" fillId="0" borderId="1" xfId="7" applyFont="1" applyBorder="1" applyAlignment="1">
      <alignment horizontal="center" vertical="center" wrapText="1"/>
    </xf>
    <xf numFmtId="0" fontId="21" fillId="0" borderId="1" xfId="7" applyFont="1" applyBorder="1" applyAlignment="1">
      <alignment horizontal="center" vertical="center" wrapText="1"/>
    </xf>
    <xf numFmtId="0" fontId="11" fillId="0" borderId="1" xfId="7" applyFont="1" applyBorder="1" applyAlignment="1">
      <alignment horizontal="center" vertical="center" wrapText="1"/>
    </xf>
    <xf numFmtId="0" fontId="19" fillId="0" borderId="1" xfId="7" applyFont="1" applyBorder="1" applyAlignment="1">
      <alignment horizontal="center" vertical="center" wrapText="1"/>
    </xf>
    <xf numFmtId="0" fontId="11" fillId="0" borderId="1" xfId="7" applyFont="1" applyBorder="1" applyAlignment="1">
      <alignment horizontal="center" wrapText="1"/>
    </xf>
    <xf numFmtId="0" fontId="13" fillId="0" borderId="1" xfId="7" applyFont="1" applyBorder="1" applyAlignment="1">
      <alignment horizontal="center" vertical="center" wrapText="1"/>
    </xf>
    <xf numFmtId="0" fontId="10" fillId="0" borderId="1" xfId="7" applyFont="1" applyBorder="1" applyAlignment="1">
      <alignment horizontal="center" wrapText="1"/>
    </xf>
    <xf numFmtId="0" fontId="13" fillId="0" borderId="1" xfId="7" applyFont="1" applyBorder="1" applyAlignment="1">
      <alignment horizontal="center" wrapText="1"/>
    </xf>
    <xf numFmtId="0" fontId="10" fillId="2" borderId="1" xfId="3" applyFont="1" applyFill="1" applyBorder="1" applyAlignment="1">
      <alignment horizontal="center" vertical="center"/>
    </xf>
    <xf numFmtId="0" fontId="24" fillId="0" borderId="1" xfId="7" applyBorder="1" applyAlignment="1">
      <alignment horizontal="center" vertical="center" wrapText="1"/>
    </xf>
    <xf numFmtId="0" fontId="25" fillId="0" borderId="1" xfId="7" applyFont="1" applyBorder="1" applyAlignment="1">
      <alignment horizontal="center" vertical="center" wrapText="1"/>
    </xf>
    <xf numFmtId="0" fontId="25" fillId="4" borderId="1" xfId="3" applyFont="1" applyFill="1" applyBorder="1" applyAlignment="1">
      <alignment horizontal="center" vertical="center" wrapText="1"/>
    </xf>
    <xf numFmtId="0" fontId="10" fillId="5" borderId="1" xfId="7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0" fontId="17" fillId="4" borderId="1" xfId="3" applyFont="1" applyFill="1" applyBorder="1" applyAlignment="1">
      <alignment horizontal="center" vertical="center" wrapText="1"/>
    </xf>
    <xf numFmtId="0" fontId="10" fillId="6" borderId="1" xfId="7" applyFont="1" applyFill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center" vertical="center" wrapText="1"/>
    </xf>
    <xf numFmtId="0" fontId="11" fillId="6" borderId="1" xfId="7" applyFont="1" applyFill="1" applyBorder="1" applyAlignment="1">
      <alignment horizontal="center" vertical="center" wrapText="1"/>
    </xf>
    <xf numFmtId="0" fontId="13" fillId="6" borderId="1" xfId="7" applyFont="1" applyFill="1" applyBorder="1" applyAlignment="1">
      <alignment horizontal="center" vertical="center" wrapText="1"/>
    </xf>
    <xf numFmtId="0" fontId="25" fillId="6" borderId="1" xfId="7" applyFont="1" applyFill="1" applyBorder="1" applyAlignment="1">
      <alignment horizontal="center" vertical="center" wrapText="1"/>
    </xf>
    <xf numFmtId="0" fontId="12" fillId="6" borderId="1" xfId="3" applyFont="1" applyFill="1" applyBorder="1" applyAlignment="1">
      <alignment horizontal="center" vertical="center" wrapText="1"/>
    </xf>
    <xf numFmtId="0" fontId="10" fillId="6" borderId="1" xfId="3" applyFont="1" applyFill="1" applyBorder="1" applyAlignment="1">
      <alignment horizontal="center" vertical="center" wrapText="1"/>
    </xf>
    <xf numFmtId="0" fontId="26" fillId="6" borderId="1" xfId="3" applyFont="1" applyFill="1" applyBorder="1" applyAlignment="1">
      <alignment horizontal="center" vertical="center" wrapText="1"/>
    </xf>
    <xf numFmtId="0" fontId="15" fillId="6" borderId="1" xfId="3" applyFont="1" applyFill="1" applyBorder="1" applyAlignment="1">
      <alignment horizontal="center" vertical="center" wrapText="1"/>
    </xf>
    <xf numFmtId="0" fontId="14" fillId="6" borderId="1" xfId="3" applyFont="1" applyFill="1" applyBorder="1" applyAlignment="1">
      <alignment horizontal="center" vertical="center" wrapText="1"/>
    </xf>
    <xf numFmtId="0" fontId="26" fillId="0" borderId="1" xfId="3" applyFont="1" applyBorder="1" applyAlignment="1">
      <alignment horizontal="center" vertical="center" wrapText="1"/>
    </xf>
    <xf numFmtId="0" fontId="27" fillId="4" borderId="1" xfId="7" applyFont="1" applyFill="1" applyBorder="1" applyAlignment="1">
      <alignment horizontal="center" vertical="center" wrapText="1"/>
    </xf>
    <xf numFmtId="0" fontId="10" fillId="7" borderId="1" xfId="7" applyFont="1" applyFill="1" applyBorder="1" applyAlignment="1">
      <alignment horizontal="center" vertical="center" wrapText="1"/>
    </xf>
    <xf numFmtId="0" fontId="10" fillId="5" borderId="1" xfId="7" applyFont="1" applyFill="1" applyBorder="1" applyAlignment="1">
      <alignment horizontal="center" wrapText="1"/>
    </xf>
    <xf numFmtId="0" fontId="13" fillId="5" borderId="1" xfId="7" applyFont="1" applyFill="1" applyBorder="1" applyAlignment="1">
      <alignment horizontal="center" vertical="center" wrapText="1"/>
    </xf>
    <xf numFmtId="0" fontId="10" fillId="4" borderId="1" xfId="4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/>
    </xf>
    <xf numFmtId="0" fontId="25" fillId="4" borderId="1" xfId="3" applyFont="1" applyFill="1" applyBorder="1" applyAlignment="1">
      <alignment horizontal="center" vertical="center"/>
    </xf>
    <xf numFmtId="0" fontId="24" fillId="0" borderId="1" xfId="7" applyBorder="1"/>
    <xf numFmtId="0" fontId="28" fillId="4" borderId="1" xfId="7" applyFont="1" applyFill="1" applyBorder="1" applyAlignment="1">
      <alignment horizontal="center" vertical="center"/>
    </xf>
    <xf numFmtId="0" fontId="10" fillId="5" borderId="1" xfId="7" applyFont="1" applyFill="1" applyBorder="1" applyAlignment="1">
      <alignment horizontal="center" vertical="center"/>
    </xf>
    <xf numFmtId="0" fontId="29" fillId="0" borderId="1" xfId="7" applyFont="1" applyBorder="1" applyAlignment="1">
      <alignment horizontal="center" vertical="center"/>
    </xf>
    <xf numFmtId="0" fontId="30" fillId="0" borderId="1" xfId="7" applyFont="1" applyBorder="1" applyAlignment="1">
      <alignment horizontal="center" vertical="center"/>
    </xf>
    <xf numFmtId="0" fontId="31" fillId="0" borderId="1" xfId="7" applyFont="1" applyBorder="1" applyAlignment="1">
      <alignment horizontal="center" vertical="center"/>
    </xf>
    <xf numFmtId="0" fontId="11" fillId="4" borderId="1" xfId="7" applyFont="1" applyFill="1" applyBorder="1" applyAlignment="1">
      <alignment horizontal="center" vertical="center"/>
    </xf>
    <xf numFmtId="0" fontId="30" fillId="0" borderId="1" xfId="3" applyFont="1" applyBorder="1" applyAlignment="1">
      <alignment horizontal="center" vertical="center"/>
    </xf>
    <xf numFmtId="0" fontId="17" fillId="4" borderId="1" xfId="3" applyFont="1" applyFill="1" applyBorder="1" applyAlignment="1">
      <alignment horizontal="center" vertical="center"/>
    </xf>
    <xf numFmtId="0" fontId="32" fillId="0" borderId="1" xfId="7" applyFont="1" applyBorder="1" applyAlignment="1">
      <alignment horizontal="center" vertical="center"/>
    </xf>
    <xf numFmtId="0" fontId="25" fillId="4" borderId="1" xfId="7" applyFont="1" applyFill="1" applyBorder="1" applyAlignment="1">
      <alignment horizontal="center" vertical="center" wrapText="1"/>
    </xf>
    <xf numFmtId="0" fontId="28" fillId="0" borderId="1" xfId="7" applyFont="1" applyBorder="1" applyAlignment="1">
      <alignment horizontal="center" vertical="center" wrapText="1"/>
    </xf>
    <xf numFmtId="0" fontId="25" fillId="8" borderId="1" xfId="7" applyFont="1" applyFill="1" applyBorder="1" applyAlignment="1">
      <alignment horizontal="center" vertical="center"/>
    </xf>
    <xf numFmtId="0" fontId="25" fillId="0" borderId="1" xfId="7" applyFont="1" applyBorder="1" applyAlignment="1">
      <alignment horizontal="center" vertical="center"/>
    </xf>
    <xf numFmtId="0" fontId="25" fillId="4" borderId="1" xfId="7" applyFont="1" applyFill="1" applyBorder="1" applyAlignment="1">
      <alignment horizontal="center" vertical="center"/>
    </xf>
    <xf numFmtId="0" fontId="28" fillId="0" borderId="1" xfId="7" applyFont="1" applyBorder="1" applyAlignment="1">
      <alignment horizontal="center" vertical="center"/>
    </xf>
    <xf numFmtId="0" fontId="33" fillId="4" borderId="1" xfId="3" applyFont="1" applyFill="1" applyBorder="1" applyAlignment="1">
      <alignment horizontal="center" vertical="center"/>
    </xf>
    <xf numFmtId="0" fontId="33" fillId="4" borderId="1" xfId="7" applyFont="1" applyFill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25" fillId="0" borderId="1" xfId="7" applyFont="1" applyBorder="1" applyAlignment="1">
      <alignment horizontal="left" vertical="center"/>
    </xf>
    <xf numFmtId="0" fontId="34" fillId="4" borderId="1" xfId="7" applyFont="1" applyFill="1" applyBorder="1" applyAlignment="1">
      <alignment horizontal="center" vertical="center"/>
    </xf>
    <xf numFmtId="0" fontId="8" fillId="0" borderId="1" xfId="1" applyBorder="1"/>
    <xf numFmtId="0" fontId="24" fillId="0" borderId="1" xfId="7" applyBorder="1" applyAlignment="1">
      <alignment horizontal="center" wrapText="1"/>
    </xf>
    <xf numFmtId="0" fontId="35" fillId="0" borderId="1" xfId="7" applyFont="1" applyBorder="1" applyAlignment="1">
      <alignment horizontal="center" wrapText="1"/>
    </xf>
    <xf numFmtId="0" fontId="35" fillId="0" borderId="1" xfId="7" applyFont="1" applyBorder="1"/>
    <xf numFmtId="0" fontId="35" fillId="0" borderId="1" xfId="7" applyFont="1" applyBorder="1" applyAlignment="1">
      <alignment horizontal="center"/>
    </xf>
    <xf numFmtId="0" fontId="38" fillId="0" borderId="1" xfId="7" applyFont="1" applyBorder="1" applyAlignment="1">
      <alignment horizontal="center" vertical="center" wrapText="1"/>
    </xf>
    <xf numFmtId="0" fontId="36" fillId="0" borderId="1" xfId="1" applyFont="1" applyBorder="1" applyAlignment="1">
      <alignment horizontal="center" wrapText="1"/>
    </xf>
    <xf numFmtId="0" fontId="37" fillId="0" borderId="1" xfId="7" applyFont="1" applyBorder="1" applyAlignment="1">
      <alignment horizontal="center" vertical="center"/>
    </xf>
    <xf numFmtId="0" fontId="39" fillId="0" borderId="1" xfId="7" applyFont="1" applyBorder="1" applyAlignment="1">
      <alignment horizontal="center" vertical="center" wrapText="1"/>
    </xf>
    <xf numFmtId="0" fontId="35" fillId="0" borderId="1" xfId="7" applyFont="1" applyBorder="1" applyAlignment="1">
      <alignment horizontal="center" vertical="center"/>
    </xf>
    <xf numFmtId="0" fontId="35" fillId="0" borderId="1" xfId="7" applyFont="1" applyBorder="1" applyAlignment="1">
      <alignment horizontal="center" vertical="center" wrapText="1"/>
    </xf>
    <xf numFmtId="0" fontId="40" fillId="0" borderId="1" xfId="7" applyFont="1" applyBorder="1" applyAlignment="1">
      <alignment horizontal="center" vertical="center" wrapText="1"/>
    </xf>
    <xf numFmtId="49" fontId="11" fillId="0" borderId="1" xfId="7" applyNumberFormat="1" applyFont="1" applyBorder="1" applyAlignment="1">
      <alignment horizontal="left" vertical="center"/>
    </xf>
    <xf numFmtId="0" fontId="38" fillId="0" borderId="1" xfId="7" applyFont="1" applyBorder="1" applyAlignment="1">
      <alignment horizontal="center" wrapText="1"/>
    </xf>
    <xf numFmtId="0" fontId="35" fillId="0" borderId="3" xfId="7" applyFont="1" applyBorder="1"/>
    <xf numFmtId="0" fontId="41" fillId="0" borderId="3" xfId="7" applyFont="1" applyBorder="1"/>
    <xf numFmtId="0" fontId="11" fillId="0" borderId="1" xfId="1" applyFont="1" applyBorder="1" applyAlignment="1">
      <alignment horizontal="center" vertical="center"/>
    </xf>
    <xf numFmtId="16" fontId="11" fillId="0" borderId="1" xfId="1" applyNumberFormat="1" applyFont="1" applyBorder="1" applyAlignment="1">
      <alignment horizontal="center" vertical="center"/>
    </xf>
    <xf numFmtId="0" fontId="10" fillId="0" borderId="1" xfId="7" applyFont="1" applyBorder="1" applyAlignment="1">
      <alignment horizontal="center"/>
    </xf>
    <xf numFmtId="0" fontId="17" fillId="0" borderId="1" xfId="3" applyFont="1" applyBorder="1" applyAlignment="1">
      <alignment horizontal="center" vertical="center"/>
    </xf>
    <xf numFmtId="0" fontId="13" fillId="0" borderId="1" xfId="7" applyFont="1" applyBorder="1" applyAlignment="1">
      <alignment horizontal="center"/>
    </xf>
    <xf numFmtId="0" fontId="11" fillId="0" borderId="1" xfId="7" applyFont="1" applyBorder="1" applyAlignment="1">
      <alignment horizontal="center" vertical="center"/>
    </xf>
    <xf numFmtId="0" fontId="24" fillId="0" borderId="1" xfId="7" applyBorder="1" applyAlignment="1">
      <alignment horizontal="center" vertical="center"/>
    </xf>
    <xf numFmtId="0" fontId="24" fillId="0" borderId="0" xfId="7" applyAlignment="1">
      <alignment horizontal="center" wrapText="1"/>
    </xf>
    <xf numFmtId="0" fontId="10" fillId="0" borderId="0" xfId="3" applyFont="1" applyAlignment="1">
      <alignment horizontal="center" vertical="center" wrapText="1"/>
    </xf>
    <xf numFmtId="0" fontId="35" fillId="0" borderId="0" xfId="7" applyFont="1" applyAlignment="1">
      <alignment horizontal="center" wrapText="1"/>
    </xf>
    <xf numFmtId="0" fontId="10" fillId="0" borderId="0" xfId="7" applyFont="1" applyAlignment="1">
      <alignment horizontal="center" wrapText="1"/>
    </xf>
    <xf numFmtId="0" fontId="18" fillId="0" borderId="0" xfId="7" applyFont="1" applyAlignment="1">
      <alignment horizontal="center" wrapText="1"/>
    </xf>
    <xf numFmtId="0" fontId="11" fillId="0" borderId="0" xfId="7" applyFont="1" applyAlignment="1">
      <alignment horizontal="center" vertical="center" wrapText="1"/>
    </xf>
    <xf numFmtId="0" fontId="35" fillId="0" borderId="0" xfId="7" applyFont="1"/>
    <xf numFmtId="0" fontId="35" fillId="0" borderId="0" xfId="7" applyFont="1" applyAlignment="1">
      <alignment horizontal="center"/>
    </xf>
    <xf numFmtId="0" fontId="37" fillId="0" borderId="0" xfId="7" applyFont="1" applyAlignment="1">
      <alignment horizontal="center" wrapText="1"/>
    </xf>
    <xf numFmtId="0" fontId="8" fillId="0" borderId="0" xfId="1"/>
    <xf numFmtId="0" fontId="16" fillId="0" borderId="0" xfId="7" applyFont="1" applyAlignment="1">
      <alignment horizontal="center" wrapText="1"/>
    </xf>
    <xf numFmtId="0" fontId="13" fillId="0" borderId="0" xfId="7" applyFont="1" applyAlignment="1">
      <alignment horizontal="center" vertical="center" wrapText="1"/>
    </xf>
    <xf numFmtId="0" fontId="38" fillId="0" borderId="0" xfId="7" applyFont="1" applyAlignment="1">
      <alignment horizontal="center" vertical="center" wrapText="1"/>
    </xf>
    <xf numFmtId="0" fontId="10" fillId="0" borderId="0" xfId="7" applyFont="1" applyAlignment="1">
      <alignment horizontal="center" vertical="center" wrapText="1"/>
    </xf>
    <xf numFmtId="0" fontId="24" fillId="0" borderId="0" xfId="7" applyAlignment="1">
      <alignment horizontal="center"/>
    </xf>
    <xf numFmtId="0" fontId="16" fillId="0" borderId="0" xfId="3" applyFont="1" applyAlignment="1">
      <alignment horizontal="center" vertical="center"/>
    </xf>
    <xf numFmtId="0" fontId="16" fillId="0" borderId="0" xfId="7" applyFont="1" applyAlignment="1">
      <alignment horizontal="center"/>
    </xf>
    <xf numFmtId="0" fontId="11" fillId="0" borderId="0" xfId="7" applyFont="1" applyAlignment="1">
      <alignment horizontal="center" vertical="center"/>
    </xf>
    <xf numFmtId="0" fontId="16" fillId="0" borderId="0" xfId="7" applyFont="1" applyAlignment="1">
      <alignment horizontal="center" vertical="center" wrapText="1"/>
    </xf>
    <xf numFmtId="0" fontId="16" fillId="0" borderId="0" xfId="3" applyFont="1" applyAlignment="1">
      <alignment horizontal="center" vertical="center" wrapText="1"/>
    </xf>
    <xf numFmtId="0" fontId="39" fillId="0" borderId="0" xfId="7" applyFont="1" applyAlignment="1">
      <alignment horizontal="center" vertical="center" wrapText="1"/>
    </xf>
    <xf numFmtId="0" fontId="35" fillId="0" borderId="0" xfId="7" applyFont="1" applyAlignment="1">
      <alignment horizontal="center" vertical="center" wrapText="1"/>
    </xf>
    <xf numFmtId="0" fontId="40" fillId="0" borderId="0" xfId="7" applyFont="1" applyAlignment="1">
      <alignment horizontal="center" vertical="center" wrapText="1"/>
    </xf>
    <xf numFmtId="0" fontId="10" fillId="4" borderId="1" xfId="27" applyFont="1" applyFill="1" applyBorder="1" applyAlignment="1">
      <alignment horizontal="center" vertical="center"/>
    </xf>
    <xf numFmtId="0" fontId="25" fillId="0" borderId="1" xfId="7" applyFont="1" applyFill="1" applyBorder="1" applyAlignment="1">
      <alignment horizontal="center" vertical="center"/>
    </xf>
    <xf numFmtId="0" fontId="25" fillId="0" borderId="1" xfId="7" applyFont="1" applyFill="1" applyBorder="1" applyAlignment="1">
      <alignment horizontal="center" vertical="center" wrapText="1"/>
    </xf>
    <xf numFmtId="0" fontId="10" fillId="5" borderId="1" xfId="1" applyFont="1" applyFill="1" applyBorder="1"/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28" fillId="0" borderId="1" xfId="7" applyFont="1" applyFill="1" applyBorder="1" applyAlignment="1">
      <alignment horizontal="center" vertical="center"/>
    </xf>
    <xf numFmtId="0" fontId="11" fillId="0" borderId="1" xfId="1" applyFont="1" applyBorder="1"/>
    <xf numFmtId="0" fontId="11" fillId="0" borderId="1" xfId="7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4" borderId="1" xfId="21" applyFont="1" applyFill="1" applyBorder="1" applyAlignment="1">
      <alignment horizontal="center" vertical="center"/>
    </xf>
    <xf numFmtId="0" fontId="8" fillId="0" borderId="1" xfId="1" applyBorder="1" applyAlignment="1">
      <alignment horizontal="center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28" fillId="8" borderId="1" xfId="7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/>
    </xf>
    <xf numFmtId="0" fontId="8" fillId="0" borderId="1" xfId="1" applyBorder="1" applyAlignment="1">
      <alignment horizontal="center" vertical="center"/>
    </xf>
    <xf numFmtId="0" fontId="10" fillId="0" borderId="1" xfId="1" applyFont="1" applyBorder="1"/>
    <xf numFmtId="0" fontId="10" fillId="0" borderId="1" xfId="3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13" fillId="0" borderId="1" xfId="3" applyFont="1" applyBorder="1" applyAlignment="1">
      <alignment horizontal="center" vertical="center" wrapText="1"/>
    </xf>
    <xf numFmtId="0" fontId="10" fillId="0" borderId="1" xfId="7" applyFont="1" applyBorder="1" applyAlignment="1">
      <alignment horizontal="center" vertical="center" wrapText="1"/>
    </xf>
    <xf numFmtId="0" fontId="21" fillId="0" borderId="1" xfId="7" applyFont="1" applyBorder="1" applyAlignment="1">
      <alignment horizontal="center" vertical="center" wrapText="1"/>
    </xf>
    <xf numFmtId="0" fontId="11" fillId="0" borderId="1" xfId="7" applyFont="1" applyBorder="1" applyAlignment="1">
      <alignment horizontal="center" vertical="center" wrapText="1"/>
    </xf>
    <xf numFmtId="0" fontId="19" fillId="0" borderId="1" xfId="7" applyFont="1" applyBorder="1" applyAlignment="1">
      <alignment horizontal="center" vertical="center" wrapText="1"/>
    </xf>
    <xf numFmtId="0" fontId="11" fillId="0" borderId="1" xfId="7" applyFont="1" applyBorder="1" applyAlignment="1">
      <alignment horizontal="center" wrapText="1"/>
    </xf>
    <xf numFmtId="0" fontId="13" fillId="0" borderId="1" xfId="7" applyFont="1" applyBorder="1" applyAlignment="1">
      <alignment horizontal="center" vertical="center" wrapText="1"/>
    </xf>
    <xf numFmtId="0" fontId="10" fillId="0" borderId="1" xfId="7" applyFont="1" applyBorder="1" applyAlignment="1">
      <alignment horizontal="center" wrapText="1"/>
    </xf>
    <xf numFmtId="0" fontId="13" fillId="0" borderId="1" xfId="7" applyFont="1" applyBorder="1" applyAlignment="1">
      <alignment horizontal="center" wrapText="1"/>
    </xf>
    <xf numFmtId="0" fontId="10" fillId="2" borderId="1" xfId="3" applyFont="1" applyFill="1" applyBorder="1" applyAlignment="1">
      <alignment horizontal="center" vertical="center"/>
    </xf>
    <xf numFmtId="0" fontId="24" fillId="0" borderId="1" xfId="7" applyBorder="1" applyAlignment="1">
      <alignment horizontal="center" vertical="center" wrapText="1"/>
    </xf>
    <xf numFmtId="0" fontId="25" fillId="0" borderId="1" xfId="7" applyFont="1" applyBorder="1" applyAlignment="1">
      <alignment horizontal="center" vertical="center" wrapText="1"/>
    </xf>
    <xf numFmtId="0" fontId="25" fillId="4" borderId="1" xfId="3" applyFont="1" applyFill="1" applyBorder="1" applyAlignment="1">
      <alignment horizontal="center" vertical="center" wrapText="1"/>
    </xf>
    <xf numFmtId="0" fontId="10" fillId="5" borderId="1" xfId="7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0" fontId="17" fillId="4" borderId="1" xfId="3" applyFont="1" applyFill="1" applyBorder="1" applyAlignment="1">
      <alignment horizontal="center" vertical="center" wrapText="1"/>
    </xf>
    <xf numFmtId="0" fontId="10" fillId="6" borderId="1" xfId="7" applyFont="1" applyFill="1" applyBorder="1" applyAlignment="1">
      <alignment horizontal="center" vertical="center" wrapText="1"/>
    </xf>
    <xf numFmtId="0" fontId="17" fillId="6" borderId="1" xfId="3" applyFont="1" applyFill="1" applyBorder="1" applyAlignment="1">
      <alignment horizontal="center" vertical="center" wrapText="1"/>
    </xf>
    <xf numFmtId="0" fontId="11" fillId="6" borderId="1" xfId="7" applyFont="1" applyFill="1" applyBorder="1" applyAlignment="1">
      <alignment horizontal="center" vertical="center" wrapText="1"/>
    </xf>
    <xf numFmtId="0" fontId="13" fillId="6" borderId="1" xfId="7" applyFont="1" applyFill="1" applyBorder="1" applyAlignment="1">
      <alignment horizontal="center" vertical="center" wrapText="1"/>
    </xf>
    <xf numFmtId="0" fontId="25" fillId="6" borderId="1" xfId="7" applyFont="1" applyFill="1" applyBorder="1" applyAlignment="1">
      <alignment horizontal="center" vertical="center" wrapText="1"/>
    </xf>
    <xf numFmtId="0" fontId="12" fillId="6" borderId="1" xfId="3" applyFont="1" applyFill="1" applyBorder="1" applyAlignment="1">
      <alignment horizontal="center" vertical="center" wrapText="1"/>
    </xf>
    <xf numFmtId="0" fontId="10" fillId="6" borderId="1" xfId="3" applyFont="1" applyFill="1" applyBorder="1" applyAlignment="1">
      <alignment horizontal="center" vertical="center" wrapText="1"/>
    </xf>
    <xf numFmtId="0" fontId="26" fillId="6" borderId="1" xfId="3" applyFont="1" applyFill="1" applyBorder="1" applyAlignment="1">
      <alignment horizontal="center" vertical="center" wrapText="1"/>
    </xf>
    <xf numFmtId="0" fontId="15" fillId="6" borderId="1" xfId="3" applyFont="1" applyFill="1" applyBorder="1" applyAlignment="1">
      <alignment horizontal="center" vertical="center" wrapText="1"/>
    </xf>
    <xf numFmtId="0" fontId="14" fillId="6" borderId="1" xfId="3" applyFont="1" applyFill="1" applyBorder="1" applyAlignment="1">
      <alignment horizontal="center" vertical="center" wrapText="1"/>
    </xf>
    <xf numFmtId="0" fontId="26" fillId="0" borderId="1" xfId="3" applyFont="1" applyBorder="1" applyAlignment="1">
      <alignment horizontal="center" vertical="center" wrapText="1"/>
    </xf>
    <xf numFmtId="0" fontId="27" fillId="4" borderId="1" xfId="7" applyFont="1" applyFill="1" applyBorder="1" applyAlignment="1">
      <alignment horizontal="center" vertical="center" wrapText="1"/>
    </xf>
    <xf numFmtId="0" fontId="10" fillId="7" borderId="1" xfId="7" applyFont="1" applyFill="1" applyBorder="1" applyAlignment="1">
      <alignment horizontal="center" vertical="center" wrapText="1"/>
    </xf>
    <xf numFmtId="0" fontId="10" fillId="5" borderId="1" xfId="7" applyFont="1" applyFill="1" applyBorder="1" applyAlignment="1">
      <alignment horizontal="center" wrapText="1"/>
    </xf>
    <xf numFmtId="0" fontId="13" fillId="5" borderId="1" xfId="7" applyFont="1" applyFill="1" applyBorder="1" applyAlignment="1">
      <alignment horizontal="center" vertical="center" wrapText="1"/>
    </xf>
    <xf numFmtId="0" fontId="10" fillId="4" borderId="1" xfId="4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/>
    </xf>
    <xf numFmtId="0" fontId="25" fillId="4" borderId="1" xfId="3" applyFont="1" applyFill="1" applyBorder="1" applyAlignment="1">
      <alignment horizontal="center" vertical="center"/>
    </xf>
    <xf numFmtId="0" fontId="24" fillId="0" borderId="1" xfId="7" applyBorder="1"/>
    <xf numFmtId="0" fontId="28" fillId="4" borderId="1" xfId="7" applyFont="1" applyFill="1" applyBorder="1" applyAlignment="1">
      <alignment horizontal="center" vertical="center"/>
    </xf>
    <xf numFmtId="0" fontId="10" fillId="5" borderId="1" xfId="7" applyFont="1" applyFill="1" applyBorder="1" applyAlignment="1">
      <alignment horizontal="center" vertical="center"/>
    </xf>
    <xf numFmtId="0" fontId="29" fillId="0" borderId="1" xfId="7" applyFont="1" applyBorder="1" applyAlignment="1">
      <alignment horizontal="center" vertical="center"/>
    </xf>
    <xf numFmtId="0" fontId="30" fillId="0" borderId="1" xfId="7" applyFont="1" applyBorder="1" applyAlignment="1">
      <alignment horizontal="center" vertical="center"/>
    </xf>
    <xf numFmtId="0" fontId="31" fillId="0" borderId="1" xfId="7" applyFont="1" applyBorder="1" applyAlignment="1">
      <alignment horizontal="center" vertical="center"/>
    </xf>
    <xf numFmtId="0" fontId="11" fillId="4" borderId="1" xfId="7" applyFont="1" applyFill="1" applyBorder="1" applyAlignment="1">
      <alignment horizontal="center" vertical="center"/>
    </xf>
    <xf numFmtId="0" fontId="30" fillId="0" borderId="1" xfId="3" applyFont="1" applyBorder="1" applyAlignment="1">
      <alignment horizontal="center" vertical="center"/>
    </xf>
    <xf numFmtId="0" fontId="17" fillId="4" borderId="1" xfId="3" applyFont="1" applyFill="1" applyBorder="1" applyAlignment="1">
      <alignment horizontal="center" vertical="center"/>
    </xf>
    <xf numFmtId="0" fontId="32" fillId="0" borderId="1" xfId="7" applyFont="1" applyBorder="1" applyAlignment="1">
      <alignment horizontal="center" vertical="center"/>
    </xf>
    <xf numFmtId="0" fontId="25" fillId="4" borderId="1" xfId="7" applyFont="1" applyFill="1" applyBorder="1" applyAlignment="1">
      <alignment horizontal="center" vertical="center" wrapText="1"/>
    </xf>
    <xf numFmtId="0" fontId="28" fillId="0" borderId="1" xfId="7" applyFont="1" applyBorder="1" applyAlignment="1">
      <alignment horizontal="center" vertical="center" wrapText="1"/>
    </xf>
    <xf numFmtId="0" fontId="25" fillId="8" borderId="1" xfId="7" applyFont="1" applyFill="1" applyBorder="1" applyAlignment="1">
      <alignment horizontal="center" vertical="center"/>
    </xf>
    <xf numFmtId="0" fontId="25" fillId="0" borderId="1" xfId="7" applyFont="1" applyBorder="1" applyAlignment="1">
      <alignment horizontal="center" vertical="center"/>
    </xf>
    <xf numFmtId="0" fontId="25" fillId="4" borderId="1" xfId="7" applyFont="1" applyFill="1" applyBorder="1" applyAlignment="1">
      <alignment horizontal="center" vertical="center"/>
    </xf>
    <xf numFmtId="0" fontId="28" fillId="0" borderId="1" xfId="7" applyFont="1" applyBorder="1" applyAlignment="1">
      <alignment horizontal="center" vertical="center"/>
    </xf>
    <xf numFmtId="0" fontId="33" fillId="4" borderId="1" xfId="3" applyFont="1" applyFill="1" applyBorder="1" applyAlignment="1">
      <alignment horizontal="center" vertical="center"/>
    </xf>
    <xf numFmtId="0" fontId="33" fillId="4" borderId="1" xfId="7" applyFont="1" applyFill="1" applyBorder="1" applyAlignment="1">
      <alignment horizontal="center" vertical="center"/>
    </xf>
    <xf numFmtId="0" fontId="26" fillId="0" borderId="1" xfId="3" applyFont="1" applyBorder="1" applyAlignment="1">
      <alignment horizontal="center" vertical="center"/>
    </xf>
    <xf numFmtId="0" fontId="25" fillId="0" borderId="1" xfId="7" applyFont="1" applyBorder="1" applyAlignment="1">
      <alignment horizontal="left" vertical="center"/>
    </xf>
    <xf numFmtId="0" fontId="34" fillId="4" borderId="1" xfId="7" applyFont="1" applyFill="1" applyBorder="1" applyAlignment="1">
      <alignment horizontal="center" vertical="center"/>
    </xf>
    <xf numFmtId="0" fontId="8" fillId="0" borderId="1" xfId="1" applyBorder="1"/>
    <xf numFmtId="0" fontId="24" fillId="0" borderId="1" xfId="7" applyBorder="1" applyAlignment="1">
      <alignment horizontal="center" wrapText="1"/>
    </xf>
    <xf numFmtId="0" fontId="35" fillId="0" borderId="1" xfId="7" applyFont="1" applyBorder="1" applyAlignment="1">
      <alignment horizontal="center" wrapText="1"/>
    </xf>
    <xf numFmtId="0" fontId="35" fillId="0" borderId="1" xfId="7" applyFont="1" applyBorder="1"/>
    <xf numFmtId="0" fontId="35" fillId="0" borderId="1" xfId="7" applyFont="1" applyBorder="1" applyAlignment="1">
      <alignment horizontal="center"/>
    </xf>
    <xf numFmtId="0" fontId="38" fillId="0" borderId="1" xfId="7" applyFont="1" applyBorder="1" applyAlignment="1">
      <alignment horizontal="center" vertical="center" wrapText="1"/>
    </xf>
    <xf numFmtId="0" fontId="36" fillId="0" borderId="1" xfId="1" applyFont="1" applyBorder="1" applyAlignment="1">
      <alignment horizontal="center" wrapText="1"/>
    </xf>
    <xf numFmtId="0" fontId="37" fillId="0" borderId="1" xfId="7" applyFont="1" applyBorder="1" applyAlignment="1">
      <alignment horizontal="center" vertical="center"/>
    </xf>
    <xf numFmtId="0" fontId="39" fillId="0" borderId="1" xfId="7" applyFont="1" applyBorder="1" applyAlignment="1">
      <alignment horizontal="center" vertical="center" wrapText="1"/>
    </xf>
    <xf numFmtId="0" fontId="35" fillId="0" borderId="1" xfId="7" applyFont="1" applyBorder="1" applyAlignment="1">
      <alignment horizontal="center" vertical="center"/>
    </xf>
    <xf numFmtId="0" fontId="35" fillId="0" borderId="1" xfId="7" applyFont="1" applyBorder="1" applyAlignment="1">
      <alignment horizontal="center" vertical="center" wrapText="1"/>
    </xf>
    <xf numFmtId="0" fontId="40" fillId="0" borderId="1" xfId="7" applyFont="1" applyBorder="1" applyAlignment="1">
      <alignment horizontal="center" vertical="center" wrapText="1"/>
    </xf>
    <xf numFmtId="49" fontId="11" fillId="0" borderId="1" xfId="7" applyNumberFormat="1" applyFont="1" applyBorder="1" applyAlignment="1">
      <alignment horizontal="left" vertical="center"/>
    </xf>
    <xf numFmtId="0" fontId="38" fillId="0" borderId="1" xfId="7" applyFont="1" applyBorder="1" applyAlignment="1">
      <alignment horizontal="center" wrapText="1"/>
    </xf>
    <xf numFmtId="0" fontId="35" fillId="0" borderId="3" xfId="7" applyFont="1" applyBorder="1"/>
    <xf numFmtId="0" fontId="41" fillId="0" borderId="3" xfId="7" applyFont="1" applyBorder="1"/>
    <xf numFmtId="0" fontId="11" fillId="0" borderId="1" xfId="1" applyFont="1" applyBorder="1" applyAlignment="1">
      <alignment horizontal="center" vertical="center"/>
    </xf>
    <xf numFmtId="16" fontId="11" fillId="0" borderId="1" xfId="1" applyNumberFormat="1" applyFont="1" applyBorder="1" applyAlignment="1">
      <alignment horizontal="center" vertical="center"/>
    </xf>
    <xf numFmtId="0" fontId="10" fillId="0" borderId="1" xfId="7" applyFont="1" applyBorder="1" applyAlignment="1">
      <alignment horizontal="center"/>
    </xf>
    <xf numFmtId="0" fontId="17" fillId="0" borderId="1" xfId="3" applyFont="1" applyBorder="1" applyAlignment="1">
      <alignment horizontal="center" vertical="center"/>
    </xf>
    <xf numFmtId="0" fontId="13" fillId="0" borderId="1" xfId="7" applyFont="1" applyBorder="1" applyAlignment="1">
      <alignment horizontal="center"/>
    </xf>
    <xf numFmtId="0" fontId="11" fillId="0" borderId="1" xfId="7" applyFont="1" applyBorder="1" applyAlignment="1">
      <alignment horizontal="center" vertical="center"/>
    </xf>
    <xf numFmtId="0" fontId="24" fillId="0" borderId="1" xfId="7" applyBorder="1" applyAlignment="1">
      <alignment horizontal="center" vertical="center"/>
    </xf>
    <xf numFmtId="0" fontId="24" fillId="0" borderId="0" xfId="7" applyAlignment="1">
      <alignment horizontal="center" wrapText="1"/>
    </xf>
    <xf numFmtId="0" fontId="10" fillId="0" borderId="0" xfId="3" applyFont="1" applyAlignment="1">
      <alignment horizontal="center" vertical="center" wrapText="1"/>
    </xf>
    <xf numFmtId="0" fontId="35" fillId="0" borderId="0" xfId="7" applyFont="1" applyAlignment="1">
      <alignment horizontal="center" wrapText="1"/>
    </xf>
    <xf numFmtId="0" fontId="10" fillId="0" borderId="0" xfId="7" applyFont="1" applyAlignment="1">
      <alignment horizontal="center" wrapText="1"/>
    </xf>
    <xf numFmtId="0" fontId="18" fillId="0" borderId="0" xfId="7" applyFont="1" applyAlignment="1">
      <alignment horizontal="center" wrapText="1"/>
    </xf>
    <xf numFmtId="0" fontId="11" fillId="0" borderId="0" xfId="7" applyFont="1" applyAlignment="1">
      <alignment horizontal="center" vertical="center" wrapText="1"/>
    </xf>
    <xf numFmtId="0" fontId="35" fillId="0" borderId="0" xfId="7" applyFont="1"/>
    <xf numFmtId="0" fontId="35" fillId="0" borderId="0" xfId="7" applyFont="1" applyAlignment="1">
      <alignment horizontal="center"/>
    </xf>
    <xf numFmtId="0" fontId="37" fillId="0" borderId="0" xfId="7" applyFont="1" applyAlignment="1">
      <alignment horizontal="center" wrapText="1"/>
    </xf>
    <xf numFmtId="0" fontId="8" fillId="0" borderId="0" xfId="1"/>
    <xf numFmtId="0" fontId="16" fillId="0" borderId="0" xfId="7" applyFont="1" applyAlignment="1">
      <alignment horizontal="center" wrapText="1"/>
    </xf>
    <xf numFmtId="0" fontId="13" fillId="0" borderId="0" xfId="7" applyFont="1" applyAlignment="1">
      <alignment horizontal="center" vertical="center" wrapText="1"/>
    </xf>
    <xf numFmtId="0" fontId="38" fillId="0" borderId="0" xfId="7" applyFont="1" applyAlignment="1">
      <alignment horizontal="center" vertical="center" wrapText="1"/>
    </xf>
    <xf numFmtId="0" fontId="10" fillId="0" borderId="0" xfId="7" applyFont="1" applyAlignment="1">
      <alignment horizontal="center" vertical="center" wrapText="1"/>
    </xf>
    <xf numFmtId="0" fontId="24" fillId="0" borderId="0" xfId="7" applyAlignment="1">
      <alignment horizontal="center"/>
    </xf>
    <xf numFmtId="0" fontId="16" fillId="0" borderId="0" xfId="3" applyFont="1" applyAlignment="1">
      <alignment horizontal="center" vertical="center"/>
    </xf>
    <xf numFmtId="0" fontId="16" fillId="0" borderId="0" xfId="7" applyFont="1" applyAlignment="1">
      <alignment horizontal="center"/>
    </xf>
    <xf numFmtId="0" fontId="11" fillId="0" borderId="0" xfId="7" applyFont="1" applyAlignment="1">
      <alignment horizontal="center" vertical="center"/>
    </xf>
    <xf numFmtId="0" fontId="16" fillId="0" borderId="0" xfId="7" applyFont="1" applyAlignment="1">
      <alignment horizontal="center" vertical="center" wrapText="1"/>
    </xf>
    <xf numFmtId="0" fontId="16" fillId="0" borderId="0" xfId="3" applyFont="1" applyAlignment="1">
      <alignment horizontal="center" vertical="center" wrapText="1"/>
    </xf>
    <xf numFmtId="0" fontId="39" fillId="0" borderId="0" xfId="7" applyFont="1" applyAlignment="1">
      <alignment horizontal="center" vertical="center" wrapText="1"/>
    </xf>
    <xf numFmtId="0" fontId="35" fillId="0" borderId="0" xfId="7" applyFont="1" applyAlignment="1">
      <alignment horizontal="center" vertical="center" wrapText="1"/>
    </xf>
    <xf numFmtId="0" fontId="40" fillId="0" borderId="0" xfId="7" applyFont="1" applyAlignment="1">
      <alignment horizontal="center" vertical="center" wrapText="1"/>
    </xf>
    <xf numFmtId="0" fontId="10" fillId="4" borderId="1" xfId="51" applyFont="1" applyFill="1" applyBorder="1" applyAlignment="1">
      <alignment horizontal="center" vertical="center"/>
    </xf>
    <xf numFmtId="0" fontId="25" fillId="0" borderId="1" xfId="7" applyFont="1" applyFill="1" applyBorder="1" applyAlignment="1">
      <alignment horizontal="center" vertical="center"/>
    </xf>
    <xf numFmtId="0" fontId="25" fillId="0" borderId="1" xfId="7" applyFont="1" applyFill="1" applyBorder="1" applyAlignment="1">
      <alignment horizontal="center" vertical="center" wrapText="1"/>
    </xf>
    <xf numFmtId="0" fontId="10" fillId="5" borderId="1" xfId="1" applyFont="1" applyFill="1" applyBorder="1"/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28" fillId="0" borderId="1" xfId="7" applyFont="1" applyFill="1" applyBorder="1" applyAlignment="1">
      <alignment horizontal="center" vertical="center"/>
    </xf>
    <xf numFmtId="0" fontId="11" fillId="0" borderId="1" xfId="1" applyFont="1" applyBorder="1"/>
    <xf numFmtId="0" fontId="11" fillId="0" borderId="1" xfId="7" applyFont="1" applyFill="1" applyBorder="1" applyAlignment="1">
      <alignment horizontal="center" vertical="center"/>
    </xf>
    <xf numFmtId="0" fontId="28" fillId="8" borderId="1" xfId="7" applyFont="1" applyFill="1" applyBorder="1" applyAlignment="1">
      <alignment horizontal="center" vertical="center"/>
    </xf>
    <xf numFmtId="0" fontId="25" fillId="9" borderId="1" xfId="7" applyFont="1" applyFill="1" applyBorder="1" applyAlignment="1">
      <alignment horizontal="center" vertical="center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2" borderId="1" xfId="3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20" fillId="0" borderId="1" xfId="7" applyFont="1" applyBorder="1" applyAlignment="1">
      <alignment horizontal="center" textRotation="45" wrapText="1"/>
    </xf>
    <xf numFmtId="0" fontId="10" fillId="3" borderId="1" xfId="7" applyFont="1" applyFill="1" applyBorder="1" applyAlignment="1">
      <alignment horizontal="center" vertical="center" wrapText="1"/>
    </xf>
    <xf numFmtId="0" fontId="10" fillId="3" borderId="2" xfId="7" applyFont="1" applyFill="1" applyBorder="1" applyAlignment="1">
      <alignment horizontal="center" vertical="center" wrapText="1"/>
    </xf>
  </cellXfs>
  <cellStyles count="58">
    <cellStyle name="Normal_Transport daily dispatch report  16-22 ,  March  2009" xfId="2" xr:uid="{00000000-0005-0000-0000-000000000000}"/>
    <cellStyle name="Normal_Transport daily dispatch report  16-22 ,  March  2009 3 2" xfId="3" xr:uid="{00000000-0005-0000-0000-000001000000}"/>
    <cellStyle name="Обычный" xfId="0" builtinId="0"/>
    <cellStyle name="Обычный 12" xfId="4" xr:uid="{00000000-0005-0000-0000-000003000000}"/>
    <cellStyle name="Обычный 2" xfId="5" xr:uid="{00000000-0005-0000-0000-000004000000}"/>
    <cellStyle name="Обычный 2 10" xfId="6" xr:uid="{00000000-0005-0000-0000-000005000000}"/>
    <cellStyle name="Обычный 2 10 2" xfId="11" xr:uid="{00000000-0005-0000-0000-000006000000}"/>
    <cellStyle name="Обычный 2 10 2 2" xfId="14" xr:uid="{E74DFC9D-8041-4F23-BD14-35F55D65D50E}"/>
    <cellStyle name="Обычный 2 10 2 2 2" xfId="20" xr:uid="{FD992A63-5D74-4521-9F60-F2969D8662FD}"/>
    <cellStyle name="Обычный 2 10 2 2 2 2" xfId="32" xr:uid="{08F00831-5BCE-4390-8B1A-3F804B463574}"/>
    <cellStyle name="Обычный 2 10 2 2 2 2 2" xfId="56" xr:uid="{21B3166D-3E65-4C1F-9375-BC69326C58C7}"/>
    <cellStyle name="Обычный 2 10 2 2 2 3" xfId="44" xr:uid="{603DDDD9-C69F-4D65-AF8A-96019799DEBC}"/>
    <cellStyle name="Обычный 2 10 2 2 3" xfId="26" xr:uid="{751D4658-A9E8-4A0F-8862-3C98AB669DFF}"/>
    <cellStyle name="Обычный 2 10 2 2 3 2" xfId="50" xr:uid="{AB6A3F23-5F51-4322-A2B8-D4963520435A}"/>
    <cellStyle name="Обычный 2 10 2 2 4" xfId="38" xr:uid="{29533633-EB77-4483-8A9F-76F009951E71}"/>
    <cellStyle name="Обычный 2 10 2 3" xfId="17" xr:uid="{E80116E7-FE17-40D3-A026-2837402DB1A7}"/>
    <cellStyle name="Обычный 2 10 2 3 2" xfId="29" xr:uid="{034B2907-6E31-4EF1-9DC0-B21ED2B896A1}"/>
    <cellStyle name="Обычный 2 10 2 3 2 2" xfId="53" xr:uid="{7504D7F1-C464-4E32-87D3-411B1836F3E1}"/>
    <cellStyle name="Обычный 2 10 2 3 3" xfId="41" xr:uid="{2E47E696-9BB4-44B3-AEFA-CA19B71620EE}"/>
    <cellStyle name="Обычный 2 10 2 4" xfId="23" xr:uid="{43669422-FE9A-410B-99A9-699ED7E06CB3}"/>
    <cellStyle name="Обычный 2 10 2 4 2" xfId="47" xr:uid="{B21AD92F-3CC3-427A-BAD6-4E9706F206B8}"/>
    <cellStyle name="Обычный 2 10 2 5" xfId="35" xr:uid="{7725FC74-1C38-4FBA-8A6D-39BF6576F578}"/>
    <cellStyle name="Обычный 2 10 3" xfId="12" xr:uid="{00000000-0005-0000-0000-000007000000}"/>
    <cellStyle name="Обычный 2 10 3 2" xfId="15" xr:uid="{EBAAEE4E-619B-4F59-9CE9-DC96C1B91F11}"/>
    <cellStyle name="Обычный 2 10 3 2 2" xfId="21" xr:uid="{2135B7D5-5E3A-4848-9D82-D3CD01D0F369}"/>
    <cellStyle name="Обычный 2 10 3 2 2 2" xfId="33" xr:uid="{D42B64BB-5002-4EE1-A5F7-9AE8E44D2E46}"/>
    <cellStyle name="Обычный 2 10 3 2 2 2 2" xfId="57" xr:uid="{DE360249-6346-40F8-98B3-871C0944D2C6}"/>
    <cellStyle name="Обычный 2 10 3 2 2 3" xfId="45" xr:uid="{7C9BDD0D-AEC6-4491-B945-C7DFD76BE2E6}"/>
    <cellStyle name="Обычный 2 10 3 2 3" xfId="27" xr:uid="{41A5FCC0-9D82-4DD6-ADFB-825BB3047E92}"/>
    <cellStyle name="Обычный 2 10 3 2 3 2" xfId="51" xr:uid="{A7BED3A5-6E1D-449E-A9F7-E946ABDBB3DF}"/>
    <cellStyle name="Обычный 2 10 3 2 4" xfId="39" xr:uid="{3D5D0085-A012-4F10-B1FA-C37772486253}"/>
    <cellStyle name="Обычный 2 10 3 3" xfId="18" xr:uid="{211B4B32-A8D8-495D-9902-B914C98B6158}"/>
    <cellStyle name="Обычный 2 10 3 3 2" xfId="30" xr:uid="{58E33D61-28C2-45BD-9097-7D3461707319}"/>
    <cellStyle name="Обычный 2 10 3 3 2 2" xfId="54" xr:uid="{D2451DD4-EF43-4326-91E0-A0CE783EAF96}"/>
    <cellStyle name="Обычный 2 10 3 3 3" xfId="42" xr:uid="{206C9570-FC1B-4C9B-9863-B2724A879F98}"/>
    <cellStyle name="Обычный 2 10 3 4" xfId="24" xr:uid="{FE69C11B-198E-425A-A485-C6825A2C525B}"/>
    <cellStyle name="Обычный 2 10 3 4 2" xfId="48" xr:uid="{3FF3400A-1458-4033-83D7-7E3AA188B202}"/>
    <cellStyle name="Обычный 2 10 3 5" xfId="36" xr:uid="{E963D7F5-DA4B-40A8-A57A-21E3BB2D4761}"/>
    <cellStyle name="Обычный 2 10 4" xfId="13" xr:uid="{99717109-5101-4703-93ED-3072A0B366BE}"/>
    <cellStyle name="Обычный 2 10 4 2" xfId="19" xr:uid="{022FA9DC-2E75-4D62-8AD2-205C4EC10B7B}"/>
    <cellStyle name="Обычный 2 10 4 2 2" xfId="31" xr:uid="{421772C4-CAA0-4269-8CF7-CD951135E697}"/>
    <cellStyle name="Обычный 2 10 4 2 2 2" xfId="55" xr:uid="{C0D148CC-E128-4C83-8E6E-9B2B4E469BA6}"/>
    <cellStyle name="Обычный 2 10 4 2 3" xfId="43" xr:uid="{B89C96F2-B05F-42FE-9D6D-4985073D5412}"/>
    <cellStyle name="Обычный 2 10 4 3" xfId="25" xr:uid="{0B82E204-C086-4EF6-89C9-FB9215CCD787}"/>
    <cellStyle name="Обычный 2 10 4 3 2" xfId="49" xr:uid="{0755B5A1-9E33-4DD7-8AEC-ADED399EFC38}"/>
    <cellStyle name="Обычный 2 10 4 4" xfId="37" xr:uid="{7086A9F3-0812-4A4B-B69D-6F9FB02AFD73}"/>
    <cellStyle name="Обычный 2 10 5" xfId="16" xr:uid="{5E610AE0-C0A6-484C-8114-C2A1798F136A}"/>
    <cellStyle name="Обычный 2 10 5 2" xfId="28" xr:uid="{B29A9444-1F16-4B34-A7D7-835E3EEEF3E6}"/>
    <cellStyle name="Обычный 2 10 5 2 2" xfId="52" xr:uid="{D0CE0D6C-0D22-472D-972E-3B0B1844DEEE}"/>
    <cellStyle name="Обычный 2 10 5 3" xfId="40" xr:uid="{2380B564-494A-4018-B74D-D8DE5C9004D7}"/>
    <cellStyle name="Обычный 2 10 6" xfId="22" xr:uid="{79774DA3-764A-44F7-BAB1-2BB896AFBB7E}"/>
    <cellStyle name="Обычный 2 10 6 2" xfId="46" xr:uid="{DFE7EC8A-3C4C-4A1C-9B46-67F3A05CCFB4}"/>
    <cellStyle name="Обычный 2 10 7" xfId="34" xr:uid="{B5BA9F10-C528-4666-A942-4607F9D3CACB}"/>
    <cellStyle name="Обычный 3" xfId="7" xr:uid="{00000000-0005-0000-0000-000008000000}"/>
    <cellStyle name="Обычный 3 2 2" xfId="8" xr:uid="{00000000-0005-0000-0000-000009000000}"/>
    <cellStyle name="Обычный 4" xfId="1" xr:uid="{00000000-0005-0000-0000-00000A000000}"/>
    <cellStyle name="Обычный 5" xfId="9" xr:uid="{00000000-0005-0000-0000-00000B000000}"/>
    <cellStyle name="Обычный 9" xfId="10" xr:uid="{00000000-0005-0000-0000-00000C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zoomScale="80" zoomScaleNormal="80" workbookViewId="0">
      <pane ySplit="1" topLeftCell="A20" activePane="bottomLeft" state="frozen"/>
      <selection pane="bottomLeft" activeCell="E62" sqref="E62:F62"/>
    </sheetView>
  </sheetViews>
  <sheetFormatPr defaultRowHeight="13.2" x14ac:dyDescent="0.25"/>
  <cols>
    <col min="1" max="1" width="5.44140625" style="1" customWidth="1"/>
    <col min="2" max="2" width="17.44140625" style="1" customWidth="1"/>
    <col min="3" max="3" width="18.21875" style="1" customWidth="1"/>
    <col min="4" max="4" width="17.77734375" style="1" customWidth="1"/>
    <col min="5" max="5" width="18.33203125" style="1" customWidth="1"/>
    <col min="6" max="6" width="17" style="1" customWidth="1"/>
    <col min="7" max="7" width="17.21875" style="1" customWidth="1"/>
    <col min="8" max="8" width="20" style="1" customWidth="1"/>
    <col min="9" max="9" width="17.5546875" style="1" customWidth="1"/>
    <col min="10" max="10" width="16.6640625" style="1" customWidth="1"/>
    <col min="11" max="11" width="17" style="1" customWidth="1"/>
    <col min="12" max="12" width="17.44140625" style="1" customWidth="1"/>
    <col min="13" max="13" width="15.5546875" style="1" customWidth="1"/>
    <col min="14" max="14" width="15.77734375" style="1" customWidth="1"/>
    <col min="15" max="15" width="15.109375" style="1" customWidth="1"/>
    <col min="16" max="16" width="15.88671875" style="1" customWidth="1"/>
    <col min="17" max="17" width="19.6640625" style="1" customWidth="1"/>
    <col min="18" max="18" width="17.4414062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13" t="s">
        <v>1</v>
      </c>
      <c r="C2" s="113" t="s">
        <v>2</v>
      </c>
      <c r="D2" s="265" t="s">
        <v>3</v>
      </c>
      <c r="E2" s="265"/>
      <c r="F2" s="113" t="s">
        <v>4</v>
      </c>
      <c r="G2" s="113" t="s">
        <v>5</v>
      </c>
      <c r="H2" s="114" t="s">
        <v>6</v>
      </c>
      <c r="I2" s="113" t="s">
        <v>7</v>
      </c>
      <c r="J2" s="113" t="s">
        <v>8</v>
      </c>
      <c r="K2" s="114" t="s">
        <v>9</v>
      </c>
      <c r="L2" s="114" t="s">
        <v>10</v>
      </c>
      <c r="M2" s="114" t="s">
        <v>11</v>
      </c>
      <c r="N2" s="266" t="s">
        <v>12</v>
      </c>
      <c r="O2" s="266"/>
      <c r="P2" s="113" t="s">
        <v>13</v>
      </c>
      <c r="Q2" s="113" t="s">
        <v>14</v>
      </c>
      <c r="R2" s="113" t="s">
        <v>15</v>
      </c>
      <c r="S2" s="113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227</v>
      </c>
      <c r="D3" s="54" t="s">
        <v>228</v>
      </c>
      <c r="E3" s="56" t="s">
        <v>18</v>
      </c>
      <c r="F3" s="54" t="s">
        <v>229</v>
      </c>
      <c r="G3" s="54" t="s">
        <v>230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63"/>
      <c r="P3" s="55" t="s">
        <v>25</v>
      </c>
      <c r="Q3" s="54" t="s">
        <v>286</v>
      </c>
      <c r="R3" s="54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232</v>
      </c>
      <c r="E4" s="56" t="s">
        <v>251</v>
      </c>
      <c r="F4" s="54" t="s">
        <v>233</v>
      </c>
      <c r="G4" s="55" t="s">
        <v>28</v>
      </c>
      <c r="H4" s="55" t="s">
        <v>287</v>
      </c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234</v>
      </c>
      <c r="O4" s="63"/>
      <c r="P4" s="63"/>
      <c r="Q4" s="55" t="s">
        <v>258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110" t="s">
        <v>259</v>
      </c>
      <c r="E5" s="56" t="s">
        <v>35</v>
      </c>
      <c r="F5" s="54" t="s">
        <v>257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235</v>
      </c>
      <c r="O5" s="63"/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236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4" t="s">
        <v>237</v>
      </c>
      <c r="O6" s="63"/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4" t="s">
        <v>238</v>
      </c>
      <c r="E7" s="63"/>
      <c r="F7" s="110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239</v>
      </c>
      <c r="O7" s="63"/>
      <c r="P7" s="2">
        <v>1</v>
      </c>
      <c r="Q7" s="55" t="s">
        <v>60</v>
      </c>
      <c r="R7" s="110" t="s">
        <v>261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240</v>
      </c>
      <c r="G8" s="56" t="s">
        <v>64</v>
      </c>
      <c r="H8" s="54" t="s">
        <v>241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57"/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242</v>
      </c>
      <c r="D9" s="55" t="s">
        <v>71</v>
      </c>
      <c r="E9" s="56"/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4" t="s">
        <v>243</v>
      </c>
      <c r="O9" s="63"/>
      <c r="P9" s="63"/>
      <c r="Q9" s="54" t="s">
        <v>262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110" t="s">
        <v>263</v>
      </c>
      <c r="D10" s="55" t="s">
        <v>105</v>
      </c>
      <c r="E10" s="56"/>
      <c r="F10" s="110" t="s">
        <v>264</v>
      </c>
      <c r="G10" s="56" t="s">
        <v>79</v>
      </c>
      <c r="H10" s="55" t="s">
        <v>80</v>
      </c>
      <c r="I10" s="63"/>
      <c r="J10" s="54" t="s">
        <v>290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R10" s="63"/>
      <c r="S10" s="17" t="s">
        <v>84</v>
      </c>
      <c r="T10" s="63"/>
    </row>
    <row r="11" spans="1:20" x14ac:dyDescent="0.25">
      <c r="A11" s="9">
        <v>9</v>
      </c>
      <c r="B11" s="63"/>
      <c r="C11" s="110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6" t="s">
        <v>89</v>
      </c>
      <c r="K11" s="56" t="s">
        <v>113</v>
      </c>
      <c r="L11" s="63"/>
      <c r="M11" s="63"/>
      <c r="N11" s="56" t="s">
        <v>92</v>
      </c>
      <c r="O11" s="63"/>
      <c r="P11" s="63"/>
      <c r="Q11" s="2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110" t="s">
        <v>266</v>
      </c>
      <c r="D12" s="55" t="s">
        <v>85</v>
      </c>
      <c r="E12" s="56"/>
      <c r="F12" s="110" t="s">
        <v>267</v>
      </c>
      <c r="G12" s="55" t="s">
        <v>95</v>
      </c>
      <c r="H12" s="55" t="s">
        <v>96</v>
      </c>
      <c r="I12" s="2">
        <v>2</v>
      </c>
      <c r="J12" s="11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110" t="s">
        <v>269</v>
      </c>
      <c r="E13" s="56"/>
      <c r="F13" s="56" t="s">
        <v>101</v>
      </c>
      <c r="G13" s="110" t="s">
        <v>270</v>
      </c>
      <c r="H13" s="110" t="s">
        <v>271</v>
      </c>
      <c r="I13" s="63"/>
      <c r="J13" s="63"/>
      <c r="K13" s="56" t="s">
        <v>97</v>
      </c>
      <c r="L13" s="55" t="s">
        <v>91</v>
      </c>
      <c r="M13" s="2"/>
      <c r="N13" s="110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110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110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110" t="s">
        <v>275</v>
      </c>
      <c r="G16" s="63"/>
      <c r="H16" s="2"/>
      <c r="I16" s="56"/>
      <c r="J16" s="79" t="s">
        <v>222</v>
      </c>
      <c r="K16" s="54" t="s">
        <v>244</v>
      </c>
      <c r="L16" s="40" t="s">
        <v>109</v>
      </c>
      <c r="M16" s="2">
        <v>6</v>
      </c>
      <c r="N16" s="110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110" t="s">
        <v>277</v>
      </c>
      <c r="G17" s="63"/>
      <c r="H17" s="2" t="s">
        <v>114</v>
      </c>
      <c r="I17" s="63"/>
      <c r="J17" s="63"/>
      <c r="L17" s="63"/>
      <c r="M17" s="46"/>
      <c r="N17" s="111" t="s">
        <v>278</v>
      </c>
      <c r="O17" s="54" t="s">
        <v>247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110" t="s">
        <v>279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110" t="s">
        <v>280</v>
      </c>
      <c r="O18" s="110" t="s">
        <v>289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110" t="s">
        <v>281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5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248</v>
      </c>
      <c r="M20" s="63"/>
      <c r="N20" s="54" t="s">
        <v>249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110" t="s">
        <v>282</v>
      </c>
      <c r="G21" s="44" t="s">
        <v>136</v>
      </c>
      <c r="H21" s="56"/>
      <c r="I21" s="63"/>
      <c r="J21" s="63"/>
      <c r="K21" s="63"/>
      <c r="L21" s="54" t="s">
        <v>250</v>
      </c>
      <c r="M21" s="63"/>
      <c r="N21" s="54" t="s">
        <v>283</v>
      </c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09"/>
      <c r="K22" s="63"/>
      <c r="L22" s="110" t="s">
        <v>284</v>
      </c>
      <c r="M22" s="63"/>
      <c r="N22" s="55" t="s">
        <v>138</v>
      </c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110" t="s">
        <v>285</v>
      </c>
      <c r="M23" s="63"/>
      <c r="N23" s="55" t="s">
        <v>144</v>
      </c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 t="s">
        <v>220</v>
      </c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 t="s">
        <v>152</v>
      </c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245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267" t="s">
        <v>176</v>
      </c>
      <c r="M41" s="267"/>
      <c r="N41" s="267"/>
      <c r="O41" s="267"/>
      <c r="P41" s="267"/>
      <c r="Q41" s="268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x14ac:dyDescent="0.25">
      <c r="A49" s="269" t="s">
        <v>196</v>
      </c>
      <c r="B49" s="270" t="s">
        <v>197</v>
      </c>
      <c r="C49" s="270"/>
      <c r="D49" s="270"/>
      <c r="E49" s="270"/>
      <c r="F49" s="271"/>
      <c r="G49" s="271"/>
      <c r="H49" s="271"/>
      <c r="I49" s="271"/>
      <c r="J49" s="105"/>
      <c r="L49" s="4" t="s">
        <v>194</v>
      </c>
      <c r="M49" s="4"/>
      <c r="N49" s="4">
        <v>30</v>
      </c>
      <c r="O49" s="4">
        <v>30</v>
      </c>
      <c r="P49" s="14">
        <v>1</v>
      </c>
      <c r="Q49" s="75" t="s">
        <v>195</v>
      </c>
      <c r="R49" s="74"/>
      <c r="S49" s="108"/>
    </row>
    <row r="50" spans="1:19" ht="13.8" x14ac:dyDescent="0.3">
      <c r="A50" s="269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9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/>
      <c r="O55" s="63"/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/>
      <c r="N56" s="43"/>
      <c r="O56" s="63"/>
      <c r="P56" s="63"/>
      <c r="Q56" s="63"/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1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4</v>
      </c>
      <c r="H59" s="36">
        <v>0</v>
      </c>
      <c r="I59" s="38">
        <v>0</v>
      </c>
      <c r="J59" s="63"/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v>200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7AF6-D8AB-4203-8F82-86B191D90A6A}">
  <dimension ref="A1:T62"/>
  <sheetViews>
    <sheetView zoomScale="80" zoomScaleNormal="80" workbookViewId="0">
      <selection sqref="A1:XFD1048576"/>
    </sheetView>
  </sheetViews>
  <sheetFormatPr defaultRowHeight="13.2" x14ac:dyDescent="0.25"/>
  <cols>
    <col min="1" max="1" width="5.44140625" style="1" customWidth="1"/>
    <col min="2" max="2" width="17.44140625" style="1" customWidth="1"/>
    <col min="3" max="3" width="18.21875" style="1" customWidth="1"/>
    <col min="4" max="4" width="17.77734375" style="1" customWidth="1"/>
    <col min="5" max="5" width="18.33203125" style="1" customWidth="1"/>
    <col min="6" max="6" width="17" style="1" customWidth="1"/>
    <col min="7" max="7" width="17.21875" style="1" customWidth="1"/>
    <col min="8" max="8" width="20" style="1" customWidth="1"/>
    <col min="9" max="9" width="17.5546875" style="1" customWidth="1"/>
    <col min="10" max="10" width="16.6640625" style="1" customWidth="1"/>
    <col min="11" max="11" width="17" style="1" customWidth="1"/>
    <col min="12" max="12" width="17.44140625" style="1" customWidth="1"/>
    <col min="13" max="13" width="15.5546875" style="1" customWidth="1"/>
    <col min="14" max="14" width="15.77734375" style="1" customWidth="1"/>
    <col min="15" max="15" width="15.109375" style="1" customWidth="1"/>
    <col min="16" max="16" width="15.88671875" style="1" customWidth="1"/>
    <col min="17" max="17" width="18.6640625" style="1" customWidth="1"/>
    <col min="18" max="18" width="17.4414062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15" t="s">
        <v>1</v>
      </c>
      <c r="C2" s="115" t="s">
        <v>2</v>
      </c>
      <c r="D2" s="265" t="s">
        <v>3</v>
      </c>
      <c r="E2" s="265"/>
      <c r="F2" s="115" t="s">
        <v>4</v>
      </c>
      <c r="G2" s="115" t="s">
        <v>5</v>
      </c>
      <c r="H2" s="116" t="s">
        <v>6</v>
      </c>
      <c r="I2" s="115" t="s">
        <v>7</v>
      </c>
      <c r="J2" s="115" t="s">
        <v>8</v>
      </c>
      <c r="K2" s="116" t="s">
        <v>9</v>
      </c>
      <c r="L2" s="116" t="s">
        <v>10</v>
      </c>
      <c r="M2" s="116" t="s">
        <v>11</v>
      </c>
      <c r="N2" s="266" t="s">
        <v>12</v>
      </c>
      <c r="O2" s="266"/>
      <c r="P2" s="115" t="s">
        <v>13</v>
      </c>
      <c r="Q2" s="115" t="s">
        <v>14</v>
      </c>
      <c r="R2" s="115" t="s">
        <v>15</v>
      </c>
      <c r="S2" s="115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 t="s">
        <v>287</v>
      </c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5" t="s">
        <v>237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54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54" t="s">
        <v>290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6" t="s">
        <v>89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289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7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267" t="s">
        <v>176</v>
      </c>
      <c r="M41" s="267"/>
      <c r="N41" s="267"/>
      <c r="O41" s="267"/>
      <c r="P41" s="267"/>
      <c r="Q41" s="268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x14ac:dyDescent="0.25">
      <c r="A49" s="269" t="s">
        <v>196</v>
      </c>
      <c r="B49" s="270" t="s">
        <v>197</v>
      </c>
      <c r="C49" s="270"/>
      <c r="D49" s="270"/>
      <c r="E49" s="270"/>
      <c r="F49" s="271"/>
      <c r="G49" s="271"/>
      <c r="H49" s="271"/>
      <c r="I49" s="271"/>
      <c r="J49" s="105"/>
      <c r="L49" s="4" t="s">
        <v>194</v>
      </c>
      <c r="M49" s="4"/>
      <c r="N49" s="4">
        <v>30</v>
      </c>
      <c r="O49" s="4">
        <v>29</v>
      </c>
      <c r="P49" s="14">
        <v>-1</v>
      </c>
      <c r="Q49" s="75" t="s">
        <v>320</v>
      </c>
      <c r="R49" s="74"/>
      <c r="S49" s="108"/>
    </row>
    <row r="50" spans="1:19" ht="13.8" x14ac:dyDescent="0.3">
      <c r="A50" s="269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9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/>
      <c r="N56" s="57" t="s">
        <v>314</v>
      </c>
      <c r="O56" s="118" t="s">
        <v>291</v>
      </c>
      <c r="P56" s="63"/>
      <c r="Q56" s="63"/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1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3</v>
      </c>
      <c r="H59" s="36">
        <v>0</v>
      </c>
      <c r="I59" s="38">
        <v>-1</v>
      </c>
      <c r="J59" s="63" t="s">
        <v>291</v>
      </c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199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CCF3-169C-455B-9727-8F7303CA5C63}">
  <dimension ref="A1:T62"/>
  <sheetViews>
    <sheetView zoomScale="80" zoomScaleNormal="80" workbookViewId="0">
      <selection sqref="A1:XFD1048576"/>
    </sheetView>
  </sheetViews>
  <sheetFormatPr defaultRowHeight="13.2" x14ac:dyDescent="0.25"/>
  <cols>
    <col min="1" max="1" width="5.44140625" style="1" customWidth="1"/>
    <col min="2" max="2" width="17.44140625" style="1" customWidth="1"/>
    <col min="3" max="3" width="18.21875" style="1" customWidth="1"/>
    <col min="4" max="4" width="17.77734375" style="1" customWidth="1"/>
    <col min="5" max="5" width="18.33203125" style="1" customWidth="1"/>
    <col min="6" max="6" width="17" style="1" customWidth="1"/>
    <col min="7" max="7" width="17.21875" style="1" customWidth="1"/>
    <col min="8" max="8" width="20" style="1" customWidth="1"/>
    <col min="9" max="9" width="17.5546875" style="1" customWidth="1"/>
    <col min="10" max="10" width="16.6640625" style="1" customWidth="1"/>
    <col min="11" max="11" width="17" style="1" customWidth="1"/>
    <col min="12" max="12" width="17.44140625" style="1" customWidth="1"/>
    <col min="13" max="13" width="15.5546875" style="1" customWidth="1"/>
    <col min="14" max="14" width="15.77734375" style="1" customWidth="1"/>
    <col min="15" max="15" width="15.109375" style="1" customWidth="1"/>
    <col min="16" max="16" width="15.88671875" style="1" customWidth="1"/>
    <col min="17" max="17" width="18.6640625" style="1" customWidth="1"/>
    <col min="18" max="18" width="17.4414062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20" t="s">
        <v>1</v>
      </c>
      <c r="C2" s="120" t="s">
        <v>2</v>
      </c>
      <c r="D2" s="265" t="s">
        <v>3</v>
      </c>
      <c r="E2" s="265"/>
      <c r="F2" s="120" t="s">
        <v>4</v>
      </c>
      <c r="G2" s="120" t="s">
        <v>5</v>
      </c>
      <c r="H2" s="121" t="s">
        <v>6</v>
      </c>
      <c r="I2" s="120" t="s">
        <v>7</v>
      </c>
      <c r="J2" s="120" t="s">
        <v>8</v>
      </c>
      <c r="K2" s="121" t="s">
        <v>9</v>
      </c>
      <c r="L2" s="121" t="s">
        <v>10</v>
      </c>
      <c r="M2" s="121" t="s">
        <v>11</v>
      </c>
      <c r="N2" s="266" t="s">
        <v>12</v>
      </c>
      <c r="O2" s="266"/>
      <c r="P2" s="120" t="s">
        <v>13</v>
      </c>
      <c r="Q2" s="120" t="s">
        <v>14</v>
      </c>
      <c r="R2" s="120" t="s">
        <v>15</v>
      </c>
      <c r="S2" s="120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5" t="s">
        <v>237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54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289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7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267" t="s">
        <v>176</v>
      </c>
      <c r="M41" s="267"/>
      <c r="N41" s="267"/>
      <c r="O41" s="267"/>
      <c r="P41" s="267"/>
      <c r="Q41" s="268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x14ac:dyDescent="0.25">
      <c r="A49" s="269" t="s">
        <v>196</v>
      </c>
      <c r="B49" s="270" t="s">
        <v>197</v>
      </c>
      <c r="C49" s="270"/>
      <c r="D49" s="270"/>
      <c r="E49" s="270"/>
      <c r="F49" s="271"/>
      <c r="G49" s="271"/>
      <c r="H49" s="271"/>
      <c r="I49" s="271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269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9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289</v>
      </c>
      <c r="N56" s="57" t="s">
        <v>314</v>
      </c>
      <c r="O56" s="118" t="s">
        <v>291</v>
      </c>
      <c r="P56" s="63"/>
      <c r="Q56" s="63"/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3</v>
      </c>
      <c r="H59" s="36">
        <v>0</v>
      </c>
      <c r="I59" s="38">
        <v>-1</v>
      </c>
      <c r="J59" s="63" t="s">
        <v>291</v>
      </c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198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92B67-2EA9-42A2-9992-9F8EF1BD70AF}">
  <dimension ref="A1:T62"/>
  <sheetViews>
    <sheetView topLeftCell="A15" zoomScale="80" zoomScaleNormal="80" workbookViewId="0">
      <selection sqref="A1:XFD1048576"/>
    </sheetView>
  </sheetViews>
  <sheetFormatPr defaultRowHeight="13.2" x14ac:dyDescent="0.25"/>
  <cols>
    <col min="1" max="1" width="5.44140625" style="1" customWidth="1"/>
    <col min="2" max="2" width="17.44140625" style="1" customWidth="1"/>
    <col min="3" max="3" width="18.21875" style="1" customWidth="1"/>
    <col min="4" max="4" width="17.77734375" style="1" customWidth="1"/>
    <col min="5" max="5" width="18.33203125" style="1" customWidth="1"/>
    <col min="6" max="6" width="17" style="1" customWidth="1"/>
    <col min="7" max="7" width="17.21875" style="1" customWidth="1"/>
    <col min="8" max="8" width="20" style="1" customWidth="1"/>
    <col min="9" max="9" width="17.5546875" style="1" customWidth="1"/>
    <col min="10" max="10" width="16.6640625" style="1" customWidth="1"/>
    <col min="11" max="11" width="17" style="1" customWidth="1"/>
    <col min="12" max="12" width="17.44140625" style="1" customWidth="1"/>
    <col min="13" max="13" width="15.5546875" style="1" customWidth="1"/>
    <col min="14" max="14" width="15.77734375" style="1" customWidth="1"/>
    <col min="15" max="15" width="15.109375" style="1" customWidth="1"/>
    <col min="16" max="16" width="15.88671875" style="1" customWidth="1"/>
    <col min="17" max="17" width="18.6640625" style="1" customWidth="1"/>
    <col min="18" max="18" width="17.4414062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24" t="s">
        <v>1</v>
      </c>
      <c r="C2" s="124" t="s">
        <v>2</v>
      </c>
      <c r="D2" s="265" t="s">
        <v>3</v>
      </c>
      <c r="E2" s="265"/>
      <c r="F2" s="124" t="s">
        <v>4</v>
      </c>
      <c r="G2" s="124" t="s">
        <v>5</v>
      </c>
      <c r="H2" s="125" t="s">
        <v>6</v>
      </c>
      <c r="I2" s="124" t="s">
        <v>7</v>
      </c>
      <c r="J2" s="124" t="s">
        <v>8</v>
      </c>
      <c r="K2" s="125" t="s">
        <v>9</v>
      </c>
      <c r="L2" s="125" t="s">
        <v>10</v>
      </c>
      <c r="M2" s="125" t="s">
        <v>11</v>
      </c>
      <c r="N2" s="266" t="s">
        <v>12</v>
      </c>
      <c r="O2" s="266"/>
      <c r="P2" s="124" t="s">
        <v>13</v>
      </c>
      <c r="Q2" s="124" t="s">
        <v>14</v>
      </c>
      <c r="R2" s="124" t="s">
        <v>15</v>
      </c>
      <c r="S2" s="124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5" t="s">
        <v>237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54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314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7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267" t="s">
        <v>176</v>
      </c>
      <c r="M41" s="267"/>
      <c r="N41" s="267"/>
      <c r="O41" s="267"/>
      <c r="P41" s="267"/>
      <c r="Q41" s="268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x14ac:dyDescent="0.25">
      <c r="A49" s="269" t="s">
        <v>196</v>
      </c>
      <c r="B49" s="270" t="s">
        <v>197</v>
      </c>
      <c r="C49" s="270"/>
      <c r="D49" s="270"/>
      <c r="E49" s="270"/>
      <c r="F49" s="271"/>
      <c r="G49" s="271"/>
      <c r="H49" s="271"/>
      <c r="I49" s="271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269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9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314</v>
      </c>
      <c r="N56" s="57"/>
      <c r="O56" s="118"/>
      <c r="P56" s="63"/>
      <c r="Q56" s="62" t="s">
        <v>289</v>
      </c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3</v>
      </c>
      <c r="H59" s="36">
        <v>0</v>
      </c>
      <c r="I59" s="38">
        <v>-1</v>
      </c>
      <c r="J59" s="63" t="s">
        <v>291</v>
      </c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198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68454-0F79-405A-8ACF-38DAD9ADD25D}">
  <dimension ref="A1:T62"/>
  <sheetViews>
    <sheetView topLeftCell="A11" zoomScale="80" zoomScaleNormal="80" workbookViewId="0">
      <selection activeCell="E22" sqref="E22"/>
    </sheetView>
  </sheetViews>
  <sheetFormatPr defaultRowHeight="13.2" x14ac:dyDescent="0.25"/>
  <cols>
    <col min="1" max="1" width="5.44140625" style="1" customWidth="1"/>
    <col min="2" max="2" width="17.44140625" style="1" customWidth="1"/>
    <col min="3" max="3" width="18.21875" style="1" customWidth="1"/>
    <col min="4" max="4" width="17.77734375" style="1" customWidth="1"/>
    <col min="5" max="5" width="18.33203125" style="1" customWidth="1"/>
    <col min="6" max="6" width="17" style="1" customWidth="1"/>
    <col min="7" max="7" width="17.21875" style="1" customWidth="1"/>
    <col min="8" max="8" width="20" style="1" customWidth="1"/>
    <col min="9" max="9" width="17.5546875" style="1" customWidth="1"/>
    <col min="10" max="10" width="16.6640625" style="1" customWidth="1"/>
    <col min="11" max="11" width="17" style="1" customWidth="1"/>
    <col min="12" max="12" width="17.44140625" style="1" customWidth="1"/>
    <col min="13" max="13" width="15.5546875" style="1" customWidth="1"/>
    <col min="14" max="14" width="15.77734375" style="1" customWidth="1"/>
    <col min="15" max="15" width="15.109375" style="1" customWidth="1"/>
    <col min="16" max="16" width="15.88671875" style="1" customWidth="1"/>
    <col min="17" max="17" width="18.6640625" style="1" customWidth="1"/>
    <col min="18" max="18" width="17.4414062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26" t="s">
        <v>1</v>
      </c>
      <c r="C2" s="126" t="s">
        <v>2</v>
      </c>
      <c r="D2" s="265" t="s">
        <v>3</v>
      </c>
      <c r="E2" s="265"/>
      <c r="F2" s="126" t="s">
        <v>4</v>
      </c>
      <c r="G2" s="126" t="s">
        <v>5</v>
      </c>
      <c r="H2" s="127" t="s">
        <v>6</v>
      </c>
      <c r="I2" s="126" t="s">
        <v>7</v>
      </c>
      <c r="J2" s="126" t="s">
        <v>8</v>
      </c>
      <c r="K2" s="127" t="s">
        <v>9</v>
      </c>
      <c r="L2" s="127" t="s">
        <v>10</v>
      </c>
      <c r="M2" s="127" t="s">
        <v>11</v>
      </c>
      <c r="N2" s="266" t="s">
        <v>12</v>
      </c>
      <c r="O2" s="266"/>
      <c r="P2" s="126" t="s">
        <v>13</v>
      </c>
      <c r="Q2" s="126" t="s">
        <v>14</v>
      </c>
      <c r="R2" s="126" t="s">
        <v>15</v>
      </c>
      <c r="S2" s="126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4" t="s">
        <v>323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128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314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7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267" t="s">
        <v>176</v>
      </c>
      <c r="M41" s="267"/>
      <c r="N41" s="267"/>
      <c r="O41" s="267"/>
      <c r="P41" s="267"/>
      <c r="Q41" s="268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x14ac:dyDescent="0.25">
      <c r="A49" s="269" t="s">
        <v>196</v>
      </c>
      <c r="B49" s="270" t="s">
        <v>197</v>
      </c>
      <c r="C49" s="270"/>
      <c r="D49" s="270"/>
      <c r="E49" s="270"/>
      <c r="F49" s="271"/>
      <c r="G49" s="271"/>
      <c r="H49" s="271"/>
      <c r="I49" s="271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269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10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314</v>
      </c>
      <c r="N56" s="57"/>
      <c r="O56" s="118"/>
      <c r="P56" s="63"/>
      <c r="Q56" s="62" t="s">
        <v>289</v>
      </c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3</v>
      </c>
      <c r="H59" s="36">
        <v>0</v>
      </c>
      <c r="I59" s="38">
        <v>-1</v>
      </c>
      <c r="J59" s="63" t="s">
        <v>291</v>
      </c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198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5D682-3F15-4960-B8B7-5E90C54B98F5}">
  <dimension ref="A1:T62"/>
  <sheetViews>
    <sheetView zoomScale="70" zoomScaleNormal="70" workbookViewId="0">
      <selection activeCell="J24" sqref="J24"/>
    </sheetView>
  </sheetViews>
  <sheetFormatPr defaultRowHeight="13.2" x14ac:dyDescent="0.25"/>
  <cols>
    <col min="1" max="1" width="5.44140625" style="1" customWidth="1"/>
    <col min="2" max="2" width="17.5546875" style="1" customWidth="1"/>
    <col min="3" max="3" width="17.21875" style="1" customWidth="1"/>
    <col min="4" max="4" width="16.5546875" style="1" customWidth="1"/>
    <col min="5" max="5" width="16.77734375" style="1" customWidth="1"/>
    <col min="6" max="6" width="16.33203125" style="1" customWidth="1"/>
    <col min="7" max="7" width="16.44140625" style="1" customWidth="1"/>
    <col min="8" max="8" width="18.44140625" style="1" customWidth="1"/>
    <col min="9" max="9" width="16" style="1" customWidth="1"/>
    <col min="10" max="10" width="19.6640625" style="1" customWidth="1"/>
    <col min="11" max="11" width="17" style="1" customWidth="1"/>
    <col min="12" max="12" width="16.44140625" style="1" customWidth="1"/>
    <col min="13" max="13" width="15.5546875" style="1" customWidth="1"/>
    <col min="14" max="14" width="16.6640625" style="1" customWidth="1"/>
    <col min="15" max="15" width="15.109375" style="1" customWidth="1"/>
    <col min="16" max="16" width="15.88671875" style="1" customWidth="1"/>
    <col min="17" max="17" width="18.33203125" style="1" customWidth="1"/>
    <col min="18" max="18" width="16.7773437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29" t="s">
        <v>1</v>
      </c>
      <c r="C2" s="129" t="s">
        <v>2</v>
      </c>
      <c r="D2" s="265" t="s">
        <v>3</v>
      </c>
      <c r="E2" s="265"/>
      <c r="F2" s="129" t="s">
        <v>4</v>
      </c>
      <c r="G2" s="129" t="s">
        <v>5</v>
      </c>
      <c r="H2" s="130" t="s">
        <v>6</v>
      </c>
      <c r="I2" s="129" t="s">
        <v>7</v>
      </c>
      <c r="J2" s="129" t="s">
        <v>8</v>
      </c>
      <c r="K2" s="130" t="s">
        <v>9</v>
      </c>
      <c r="L2" s="130" t="s">
        <v>10</v>
      </c>
      <c r="M2" s="130" t="s">
        <v>11</v>
      </c>
      <c r="N2" s="266" t="s">
        <v>12</v>
      </c>
      <c r="O2" s="266"/>
      <c r="P2" s="129" t="s">
        <v>13</v>
      </c>
      <c r="Q2" s="129" t="s">
        <v>14</v>
      </c>
      <c r="R2" s="129" t="s">
        <v>15</v>
      </c>
      <c r="S2" s="129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4" t="s">
        <v>323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128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314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5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267" t="s">
        <v>176</v>
      </c>
      <c r="M41" s="267"/>
      <c r="N41" s="267"/>
      <c r="O41" s="267"/>
      <c r="P41" s="267"/>
      <c r="Q41" s="268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ht="26.4" x14ac:dyDescent="0.25">
      <c r="A49" s="269" t="s">
        <v>196</v>
      </c>
      <c r="B49" s="270" t="s">
        <v>197</v>
      </c>
      <c r="C49" s="270"/>
      <c r="D49" s="270"/>
      <c r="E49" s="270"/>
      <c r="F49" s="271"/>
      <c r="G49" s="271"/>
      <c r="H49" s="271"/>
      <c r="I49" s="271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269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10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314</v>
      </c>
      <c r="N56" s="57"/>
      <c r="O56" s="118"/>
      <c r="P56" s="63"/>
      <c r="Q56" s="62" t="s">
        <v>289</v>
      </c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4</v>
      </c>
      <c r="H59" s="36">
        <v>0</v>
      </c>
      <c r="I59" s="38">
        <v>0</v>
      </c>
      <c r="J59" s="63" t="s">
        <v>291</v>
      </c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199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CD737-670F-4F6A-A01D-83CFC758F5D2}">
  <dimension ref="A1:T62"/>
  <sheetViews>
    <sheetView zoomScale="70" zoomScaleNormal="70" workbookViewId="0">
      <selection activeCell="E30" sqref="E30"/>
    </sheetView>
  </sheetViews>
  <sheetFormatPr defaultRowHeight="13.2" x14ac:dyDescent="0.25"/>
  <cols>
    <col min="1" max="1" width="5.44140625" style="1" customWidth="1"/>
    <col min="2" max="2" width="17.5546875" style="1" customWidth="1"/>
    <col min="3" max="3" width="17.21875" style="1" customWidth="1"/>
    <col min="4" max="4" width="16.5546875" style="1" customWidth="1"/>
    <col min="5" max="5" width="16.77734375" style="1" customWidth="1"/>
    <col min="6" max="6" width="16.33203125" style="1" customWidth="1"/>
    <col min="7" max="7" width="16.44140625" style="1" customWidth="1"/>
    <col min="8" max="8" width="18.44140625" style="1" customWidth="1"/>
    <col min="9" max="9" width="16" style="1" customWidth="1"/>
    <col min="10" max="10" width="19.6640625" style="1" customWidth="1"/>
    <col min="11" max="11" width="17" style="1" customWidth="1"/>
    <col min="12" max="12" width="16.44140625" style="1" customWidth="1"/>
    <col min="13" max="13" width="15.5546875" style="1" customWidth="1"/>
    <col min="14" max="14" width="16.6640625" style="1" customWidth="1"/>
    <col min="15" max="15" width="15.109375" style="1" customWidth="1"/>
    <col min="16" max="16" width="15.88671875" style="1" customWidth="1"/>
    <col min="17" max="17" width="18.33203125" style="1" customWidth="1"/>
    <col min="18" max="18" width="16.7773437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31" t="s">
        <v>1</v>
      </c>
      <c r="C2" s="131" t="s">
        <v>2</v>
      </c>
      <c r="D2" s="265" t="s">
        <v>3</v>
      </c>
      <c r="E2" s="265"/>
      <c r="F2" s="131" t="s">
        <v>4</v>
      </c>
      <c r="G2" s="131" t="s">
        <v>5</v>
      </c>
      <c r="H2" s="132" t="s">
        <v>6</v>
      </c>
      <c r="I2" s="131" t="s">
        <v>7</v>
      </c>
      <c r="J2" s="131" t="s">
        <v>8</v>
      </c>
      <c r="K2" s="132" t="s">
        <v>9</v>
      </c>
      <c r="L2" s="132" t="s">
        <v>10</v>
      </c>
      <c r="M2" s="132" t="s">
        <v>11</v>
      </c>
      <c r="N2" s="266" t="s">
        <v>12</v>
      </c>
      <c r="O2" s="266"/>
      <c r="P2" s="131" t="s">
        <v>13</v>
      </c>
      <c r="Q2" s="131" t="s">
        <v>14</v>
      </c>
      <c r="R2" s="131" t="s">
        <v>15</v>
      </c>
      <c r="S2" s="131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4" t="s">
        <v>323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128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314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5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267" t="s">
        <v>176</v>
      </c>
      <c r="M41" s="267"/>
      <c r="N41" s="267"/>
      <c r="O41" s="267"/>
      <c r="P41" s="267"/>
      <c r="Q41" s="268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ht="26.4" x14ac:dyDescent="0.25">
      <c r="A49" s="269" t="s">
        <v>196</v>
      </c>
      <c r="B49" s="270" t="s">
        <v>197</v>
      </c>
      <c r="C49" s="270"/>
      <c r="D49" s="270"/>
      <c r="E49" s="270"/>
      <c r="F49" s="271"/>
      <c r="G49" s="271"/>
      <c r="H49" s="271"/>
      <c r="I49" s="271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269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10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314</v>
      </c>
      <c r="N56" s="57"/>
      <c r="O56" s="118"/>
      <c r="P56" s="63"/>
      <c r="Q56" s="62" t="s">
        <v>289</v>
      </c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4</v>
      </c>
      <c r="H59" s="36">
        <v>0</v>
      </c>
      <c r="I59" s="38">
        <v>0</v>
      </c>
      <c r="J59" s="63"/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199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F7EE-090B-4E1E-A3C3-06D5D71EAAD1}">
  <dimension ref="A1:T62"/>
  <sheetViews>
    <sheetView zoomScale="70" zoomScaleNormal="70" workbookViewId="0">
      <selection activeCell="J25" sqref="J25"/>
    </sheetView>
  </sheetViews>
  <sheetFormatPr defaultRowHeight="13.2" x14ac:dyDescent="0.25"/>
  <cols>
    <col min="1" max="1" width="5.44140625" style="1" customWidth="1"/>
    <col min="2" max="2" width="17.5546875" style="1" customWidth="1"/>
    <col min="3" max="3" width="17.21875" style="1" customWidth="1"/>
    <col min="4" max="4" width="16.5546875" style="1" customWidth="1"/>
    <col min="5" max="5" width="16.77734375" style="1" customWidth="1"/>
    <col min="6" max="6" width="16.33203125" style="1" customWidth="1"/>
    <col min="7" max="7" width="16.44140625" style="1" customWidth="1"/>
    <col min="8" max="8" width="18.44140625" style="1" customWidth="1"/>
    <col min="9" max="9" width="16" style="1" customWidth="1"/>
    <col min="10" max="10" width="19.6640625" style="1" customWidth="1"/>
    <col min="11" max="11" width="17" style="1" customWidth="1"/>
    <col min="12" max="12" width="16.44140625" style="1" customWidth="1"/>
    <col min="13" max="13" width="15.5546875" style="1" customWidth="1"/>
    <col min="14" max="14" width="16.6640625" style="1" customWidth="1"/>
    <col min="15" max="15" width="15.109375" style="1" customWidth="1"/>
    <col min="16" max="16" width="15.88671875" style="1" customWidth="1"/>
    <col min="17" max="17" width="18.33203125" style="1" customWidth="1"/>
    <col min="18" max="18" width="16.7773437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33" t="s">
        <v>1</v>
      </c>
      <c r="C2" s="133" t="s">
        <v>2</v>
      </c>
      <c r="D2" s="265" t="s">
        <v>3</v>
      </c>
      <c r="E2" s="265"/>
      <c r="F2" s="133" t="s">
        <v>4</v>
      </c>
      <c r="G2" s="133" t="s">
        <v>5</v>
      </c>
      <c r="H2" s="134" t="s">
        <v>6</v>
      </c>
      <c r="I2" s="133" t="s">
        <v>7</v>
      </c>
      <c r="J2" s="133" t="s">
        <v>8</v>
      </c>
      <c r="K2" s="134" t="s">
        <v>9</v>
      </c>
      <c r="L2" s="134" t="s">
        <v>10</v>
      </c>
      <c r="M2" s="134" t="s">
        <v>11</v>
      </c>
      <c r="N2" s="266" t="s">
        <v>12</v>
      </c>
      <c r="O2" s="266"/>
      <c r="P2" s="133" t="s">
        <v>13</v>
      </c>
      <c r="Q2" s="133" t="s">
        <v>14</v>
      </c>
      <c r="R2" s="133" t="s">
        <v>15</v>
      </c>
      <c r="S2" s="133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4" t="s">
        <v>323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128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314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5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267" t="s">
        <v>176</v>
      </c>
      <c r="M41" s="267"/>
      <c r="N41" s="267"/>
      <c r="O41" s="267"/>
      <c r="P41" s="267"/>
      <c r="Q41" s="268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ht="26.4" x14ac:dyDescent="0.25">
      <c r="A49" s="269" t="s">
        <v>196</v>
      </c>
      <c r="B49" s="270" t="s">
        <v>197</v>
      </c>
      <c r="C49" s="270"/>
      <c r="D49" s="270"/>
      <c r="E49" s="270"/>
      <c r="F49" s="271"/>
      <c r="G49" s="271"/>
      <c r="H49" s="271"/>
      <c r="I49" s="271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269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10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314</v>
      </c>
      <c r="N56" s="57"/>
      <c r="O56" s="118"/>
      <c r="P56" s="63"/>
      <c r="Q56" s="62" t="s">
        <v>289</v>
      </c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4</v>
      </c>
      <c r="H59" s="36">
        <v>0</v>
      </c>
      <c r="I59" s="38">
        <v>0</v>
      </c>
      <c r="J59" s="63"/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199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21A2-B8E1-4E0F-9A9C-1A6322EF75C8}">
  <dimension ref="A1:T62"/>
  <sheetViews>
    <sheetView zoomScale="85" zoomScaleNormal="85" workbookViewId="0">
      <selection sqref="A1:XFD1048576"/>
    </sheetView>
  </sheetViews>
  <sheetFormatPr defaultRowHeight="13.2" x14ac:dyDescent="0.25"/>
  <cols>
    <col min="1" max="1" width="5.44140625" style="1" customWidth="1"/>
    <col min="2" max="2" width="17.5546875" style="1" customWidth="1"/>
    <col min="3" max="3" width="17.21875" style="1" customWidth="1"/>
    <col min="4" max="4" width="16.5546875" style="1" customWidth="1"/>
    <col min="5" max="5" width="16.77734375" style="1" customWidth="1"/>
    <col min="6" max="6" width="16.33203125" style="1" customWidth="1"/>
    <col min="7" max="7" width="16.44140625" style="1" customWidth="1"/>
    <col min="8" max="8" width="18.44140625" style="1" customWidth="1"/>
    <col min="9" max="9" width="16" style="1" customWidth="1"/>
    <col min="10" max="10" width="19.6640625" style="1" customWidth="1"/>
    <col min="11" max="11" width="17" style="1" customWidth="1"/>
    <col min="12" max="12" width="16.44140625" style="1" customWidth="1"/>
    <col min="13" max="13" width="15.5546875" style="1" customWidth="1"/>
    <col min="14" max="14" width="16.6640625" style="1" customWidth="1"/>
    <col min="15" max="15" width="15.109375" style="1" customWidth="1"/>
    <col min="16" max="16" width="15.88671875" style="1" customWidth="1"/>
    <col min="17" max="17" width="18.33203125" style="1" customWidth="1"/>
    <col min="18" max="18" width="16.77734375" style="1" customWidth="1"/>
    <col min="19" max="19" width="15.88671875" style="1" customWidth="1"/>
    <col min="20" max="20" width="17" style="1" customWidth="1"/>
    <col min="21" max="16384" width="8.88671875" style="1"/>
  </cols>
  <sheetData>
    <row r="1" spans="1:20" ht="17.399999999999999" x14ac:dyDescent="0.25">
      <c r="A1" s="18"/>
      <c r="B1" s="10">
        <v>7</v>
      </c>
      <c r="C1" s="10">
        <v>13</v>
      </c>
      <c r="D1" s="10">
        <v>12</v>
      </c>
      <c r="E1" s="10"/>
      <c r="F1" s="10">
        <v>18</v>
      </c>
      <c r="G1" s="10">
        <v>11</v>
      </c>
      <c r="H1" s="10">
        <v>11</v>
      </c>
      <c r="I1" s="10">
        <v>2</v>
      </c>
      <c r="J1" s="10">
        <v>6</v>
      </c>
      <c r="K1" s="10">
        <v>16</v>
      </c>
      <c r="L1" s="10">
        <v>15</v>
      </c>
      <c r="M1" s="10">
        <v>6</v>
      </c>
      <c r="N1" s="10">
        <v>21</v>
      </c>
      <c r="O1" s="10"/>
      <c r="P1" s="10">
        <v>1</v>
      </c>
      <c r="Q1" s="10">
        <v>15</v>
      </c>
      <c r="R1" s="10">
        <v>11</v>
      </c>
      <c r="S1" s="10">
        <v>5</v>
      </c>
      <c r="T1" s="11"/>
    </row>
    <row r="2" spans="1:20" ht="26.4" x14ac:dyDescent="0.25">
      <c r="A2" s="9" t="s">
        <v>0</v>
      </c>
      <c r="B2" s="135" t="s">
        <v>1</v>
      </c>
      <c r="C2" s="135" t="s">
        <v>2</v>
      </c>
      <c r="D2" s="265" t="s">
        <v>3</v>
      </c>
      <c r="E2" s="265"/>
      <c r="F2" s="135" t="s">
        <v>4</v>
      </c>
      <c r="G2" s="135" t="s">
        <v>5</v>
      </c>
      <c r="H2" s="136" t="s">
        <v>6</v>
      </c>
      <c r="I2" s="135" t="s">
        <v>7</v>
      </c>
      <c r="J2" s="135" t="s">
        <v>8</v>
      </c>
      <c r="K2" s="136" t="s">
        <v>9</v>
      </c>
      <c r="L2" s="136" t="s">
        <v>10</v>
      </c>
      <c r="M2" s="136" t="s">
        <v>11</v>
      </c>
      <c r="N2" s="266" t="s">
        <v>12</v>
      </c>
      <c r="O2" s="266"/>
      <c r="P2" s="135" t="s">
        <v>13</v>
      </c>
      <c r="Q2" s="135" t="s">
        <v>14</v>
      </c>
      <c r="R2" s="135" t="s">
        <v>15</v>
      </c>
      <c r="S2" s="135" t="s">
        <v>16</v>
      </c>
      <c r="T2" s="12" t="s">
        <v>17</v>
      </c>
    </row>
    <row r="3" spans="1:20" x14ac:dyDescent="0.25">
      <c r="A3" s="9">
        <v>1</v>
      </c>
      <c r="B3" s="55" t="s">
        <v>226</v>
      </c>
      <c r="C3" s="54" t="s">
        <v>292</v>
      </c>
      <c r="D3" s="54" t="s">
        <v>293</v>
      </c>
      <c r="E3" s="56" t="s">
        <v>18</v>
      </c>
      <c r="F3" s="54" t="s">
        <v>294</v>
      </c>
      <c r="G3" s="54" t="s">
        <v>295</v>
      </c>
      <c r="H3" s="55" t="s">
        <v>19</v>
      </c>
      <c r="I3" s="63"/>
      <c r="J3" s="55" t="s">
        <v>20</v>
      </c>
      <c r="K3" s="54" t="s">
        <v>21</v>
      </c>
      <c r="L3" s="56" t="s">
        <v>22</v>
      </c>
      <c r="M3" s="56" t="s">
        <v>23</v>
      </c>
      <c r="N3" s="54" t="s">
        <v>24</v>
      </c>
      <c r="O3" s="55" t="s">
        <v>138</v>
      </c>
      <c r="P3" s="55" t="s">
        <v>25</v>
      </c>
      <c r="Q3" s="55" t="s">
        <v>286</v>
      </c>
      <c r="R3" s="55" t="s">
        <v>231</v>
      </c>
      <c r="S3" s="55" t="s">
        <v>221</v>
      </c>
      <c r="T3" s="63"/>
    </row>
    <row r="4" spans="1:20" x14ac:dyDescent="0.25">
      <c r="A4" s="9">
        <v>2</v>
      </c>
      <c r="B4" s="55" t="s">
        <v>26</v>
      </c>
      <c r="C4" s="54" t="s">
        <v>27</v>
      </c>
      <c r="D4" s="54" t="s">
        <v>296</v>
      </c>
      <c r="E4" s="56" t="s">
        <v>251</v>
      </c>
      <c r="F4" s="55" t="s">
        <v>233</v>
      </c>
      <c r="G4" s="55" t="s">
        <v>28</v>
      </c>
      <c r="H4" s="55"/>
      <c r="I4" s="63"/>
      <c r="J4" s="2">
        <v>1</v>
      </c>
      <c r="K4" s="54" t="s">
        <v>29</v>
      </c>
      <c r="L4" s="55" t="s">
        <v>30</v>
      </c>
      <c r="M4" s="55" t="s">
        <v>68</v>
      </c>
      <c r="N4" s="54" t="s">
        <v>297</v>
      </c>
      <c r="O4" s="55" t="s">
        <v>144</v>
      </c>
      <c r="P4" s="63"/>
      <c r="Q4" s="54" t="s">
        <v>298</v>
      </c>
      <c r="R4" s="56" t="s">
        <v>32</v>
      </c>
      <c r="S4" s="41" t="s">
        <v>33</v>
      </c>
      <c r="T4" s="51"/>
    </row>
    <row r="5" spans="1:20" x14ac:dyDescent="0.25">
      <c r="A5" s="9">
        <v>3</v>
      </c>
      <c r="B5" s="55" t="s">
        <v>34</v>
      </c>
      <c r="C5" s="54" t="s">
        <v>252</v>
      </c>
      <c r="D5" s="54" t="s">
        <v>299</v>
      </c>
      <c r="E5" s="56" t="s">
        <v>35</v>
      </c>
      <c r="F5" s="54" t="s">
        <v>300</v>
      </c>
      <c r="G5" s="55" t="s">
        <v>36</v>
      </c>
      <c r="H5" s="2">
        <v>1</v>
      </c>
      <c r="I5" s="63"/>
      <c r="J5" s="63"/>
      <c r="K5" s="55" t="s">
        <v>37</v>
      </c>
      <c r="L5" s="55" t="s">
        <v>38</v>
      </c>
      <c r="M5" s="56" t="s">
        <v>31</v>
      </c>
      <c r="N5" s="54" t="s">
        <v>301</v>
      </c>
      <c r="O5" s="55" t="s">
        <v>220</v>
      </c>
      <c r="P5" s="63"/>
      <c r="Q5" s="55" t="s">
        <v>40</v>
      </c>
      <c r="R5" s="56" t="s">
        <v>41</v>
      </c>
      <c r="S5" s="57"/>
      <c r="T5" s="63"/>
    </row>
    <row r="6" spans="1:20" x14ac:dyDescent="0.25">
      <c r="A6" s="9">
        <v>4</v>
      </c>
      <c r="B6" s="55" t="s">
        <v>51</v>
      </c>
      <c r="C6" s="55" t="s">
        <v>130</v>
      </c>
      <c r="D6" s="56" t="s">
        <v>44</v>
      </c>
      <c r="E6" s="63"/>
      <c r="F6" s="54" t="s">
        <v>302</v>
      </c>
      <c r="G6" s="56" t="s">
        <v>45</v>
      </c>
      <c r="H6" s="59"/>
      <c r="I6" s="63"/>
      <c r="J6" s="63"/>
      <c r="K6" s="55" t="s">
        <v>46</v>
      </c>
      <c r="L6" s="56" t="s">
        <v>47</v>
      </c>
      <c r="M6" s="55" t="s">
        <v>39</v>
      </c>
      <c r="N6" s="54" t="s">
        <v>323</v>
      </c>
      <c r="O6" s="55" t="s">
        <v>152</v>
      </c>
      <c r="P6" s="63"/>
      <c r="Q6" s="56" t="s">
        <v>49</v>
      </c>
      <c r="R6" s="56" t="s">
        <v>50</v>
      </c>
      <c r="S6" s="63"/>
      <c r="T6" s="63"/>
    </row>
    <row r="7" spans="1:20" x14ac:dyDescent="0.25">
      <c r="A7" s="9">
        <v>5</v>
      </c>
      <c r="B7" s="55" t="s">
        <v>42</v>
      </c>
      <c r="C7" s="55" t="s">
        <v>52</v>
      </c>
      <c r="D7" s="55" t="s">
        <v>238</v>
      </c>
      <c r="E7" s="63"/>
      <c r="F7" s="55" t="s">
        <v>260</v>
      </c>
      <c r="G7" s="56" t="s">
        <v>53</v>
      </c>
      <c r="H7" s="17" t="s">
        <v>54</v>
      </c>
      <c r="I7" s="17" t="s">
        <v>55</v>
      </c>
      <c r="J7" s="17" t="s">
        <v>56</v>
      </c>
      <c r="K7" s="56" t="s">
        <v>57</v>
      </c>
      <c r="L7" s="56" t="s">
        <v>58</v>
      </c>
      <c r="M7" s="56" t="s">
        <v>48</v>
      </c>
      <c r="N7" s="54" t="s">
        <v>303</v>
      </c>
      <c r="O7" s="63"/>
      <c r="P7" s="2">
        <v>1</v>
      </c>
      <c r="Q7" s="55" t="s">
        <v>60</v>
      </c>
      <c r="R7" s="54" t="s">
        <v>304</v>
      </c>
      <c r="S7" s="56" t="s">
        <v>253</v>
      </c>
      <c r="T7" s="63"/>
    </row>
    <row r="8" spans="1:20" ht="14.4" x14ac:dyDescent="0.3">
      <c r="A8" s="9">
        <v>6</v>
      </c>
      <c r="B8" s="63"/>
      <c r="C8" s="56" t="s">
        <v>62</v>
      </c>
      <c r="D8" s="55" t="s">
        <v>63</v>
      </c>
      <c r="E8" s="63"/>
      <c r="F8" s="54" t="s">
        <v>305</v>
      </c>
      <c r="G8" s="56" t="s">
        <v>64</v>
      </c>
      <c r="H8" s="54" t="s">
        <v>306</v>
      </c>
      <c r="I8" s="55" t="s">
        <v>65</v>
      </c>
      <c r="J8" s="55" t="s">
        <v>219</v>
      </c>
      <c r="K8" s="55" t="s">
        <v>66</v>
      </c>
      <c r="L8" s="56" t="s">
        <v>67</v>
      </c>
      <c r="M8" s="56" t="s">
        <v>59</v>
      </c>
      <c r="N8" s="128" t="s">
        <v>307</v>
      </c>
      <c r="O8" s="63"/>
      <c r="P8" s="63"/>
      <c r="Q8" s="55" t="s">
        <v>254</v>
      </c>
      <c r="R8" s="56" t="s">
        <v>61</v>
      </c>
      <c r="S8" s="42"/>
      <c r="T8" s="63" t="s">
        <v>70</v>
      </c>
    </row>
    <row r="9" spans="1:20" x14ac:dyDescent="0.25">
      <c r="A9" s="9">
        <v>7</v>
      </c>
      <c r="B9" s="63"/>
      <c r="C9" s="54" t="s">
        <v>308</v>
      </c>
      <c r="D9" s="55" t="s">
        <v>71</v>
      </c>
      <c r="E9" s="56"/>
      <c r="F9" s="55" t="s">
        <v>282</v>
      </c>
      <c r="G9" s="56" t="s">
        <v>255</v>
      </c>
      <c r="H9" s="55" t="s">
        <v>72</v>
      </c>
      <c r="I9" s="55" t="s">
        <v>73</v>
      </c>
      <c r="J9" s="55" t="s">
        <v>74</v>
      </c>
      <c r="K9" s="56" t="s">
        <v>75</v>
      </c>
      <c r="L9" s="55" t="s">
        <v>76</v>
      </c>
      <c r="M9" s="63"/>
      <c r="N9" s="55" t="s">
        <v>243</v>
      </c>
      <c r="O9" s="63"/>
      <c r="P9" s="63"/>
      <c r="Q9" s="54" t="s">
        <v>309</v>
      </c>
      <c r="R9" s="56" t="s">
        <v>69</v>
      </c>
      <c r="S9" s="63"/>
      <c r="T9" s="63"/>
    </row>
    <row r="10" spans="1:20" x14ac:dyDescent="0.25">
      <c r="A10" s="9">
        <v>8</v>
      </c>
      <c r="B10" s="63"/>
      <c r="C10" s="55" t="s">
        <v>263</v>
      </c>
      <c r="D10" s="55" t="s">
        <v>105</v>
      </c>
      <c r="E10" s="56"/>
      <c r="F10" s="55" t="s">
        <v>244</v>
      </c>
      <c r="G10" s="56" t="s">
        <v>79</v>
      </c>
      <c r="H10" s="55" t="s">
        <v>80</v>
      </c>
      <c r="I10" s="63"/>
      <c r="J10" s="110" t="s">
        <v>321</v>
      </c>
      <c r="K10" s="55" t="s">
        <v>81</v>
      </c>
      <c r="L10" s="56" t="s">
        <v>82</v>
      </c>
      <c r="M10" s="63"/>
      <c r="N10" s="41" t="s">
        <v>83</v>
      </c>
      <c r="O10" s="63"/>
      <c r="P10" s="63"/>
      <c r="Q10" s="55"/>
      <c r="R10" s="63"/>
      <c r="S10" s="17" t="s">
        <v>84</v>
      </c>
      <c r="T10" s="63"/>
    </row>
    <row r="11" spans="1:20" x14ac:dyDescent="0.25">
      <c r="A11" s="9">
        <v>9</v>
      </c>
      <c r="B11" s="63"/>
      <c r="C11" s="55" t="s">
        <v>265</v>
      </c>
      <c r="D11" s="56" t="s">
        <v>77</v>
      </c>
      <c r="E11" s="63"/>
      <c r="F11" s="56" t="s">
        <v>86</v>
      </c>
      <c r="G11" s="56" t="s">
        <v>87</v>
      </c>
      <c r="H11" s="55" t="s">
        <v>88</v>
      </c>
      <c r="I11" s="2"/>
      <c r="J11" s="54" t="s">
        <v>322</v>
      </c>
      <c r="K11" s="56" t="s">
        <v>113</v>
      </c>
      <c r="L11" s="63"/>
      <c r="M11" s="63"/>
      <c r="N11" s="56" t="s">
        <v>92</v>
      </c>
      <c r="O11" s="63"/>
      <c r="P11" s="63"/>
      <c r="Q11" s="123" t="s">
        <v>93</v>
      </c>
      <c r="R11" s="63"/>
      <c r="S11" s="56" t="s">
        <v>94</v>
      </c>
      <c r="T11" s="63"/>
    </row>
    <row r="12" spans="1:20" x14ac:dyDescent="0.25">
      <c r="A12" s="9">
        <v>10</v>
      </c>
      <c r="B12" s="2"/>
      <c r="C12" s="55" t="s">
        <v>245</v>
      </c>
      <c r="D12" s="55" t="s">
        <v>85</v>
      </c>
      <c r="E12" s="56"/>
      <c r="F12" s="55" t="s">
        <v>267</v>
      </c>
      <c r="G12" s="55" t="s">
        <v>95</v>
      </c>
      <c r="H12" s="55" t="s">
        <v>96</v>
      </c>
      <c r="I12" s="2">
        <v>2</v>
      </c>
      <c r="J12" s="57" t="s">
        <v>268</v>
      </c>
      <c r="K12" s="56" t="s">
        <v>90</v>
      </c>
      <c r="L12" s="63"/>
      <c r="M12" s="55"/>
      <c r="N12" s="56" t="s">
        <v>99</v>
      </c>
      <c r="O12" s="63"/>
      <c r="P12" s="63"/>
      <c r="Q12" s="2"/>
      <c r="R12" s="2"/>
      <c r="S12" s="63"/>
      <c r="T12" s="63"/>
    </row>
    <row r="13" spans="1:20" x14ac:dyDescent="0.25">
      <c r="A13" s="9">
        <v>11</v>
      </c>
      <c r="B13" s="2">
        <v>5</v>
      </c>
      <c r="C13" s="63"/>
      <c r="D13" s="55" t="s">
        <v>269</v>
      </c>
      <c r="E13" s="56"/>
      <c r="F13" s="56" t="s">
        <v>101</v>
      </c>
      <c r="G13" s="55" t="s">
        <v>270</v>
      </c>
      <c r="H13" s="55" t="s">
        <v>271</v>
      </c>
      <c r="I13" s="63"/>
      <c r="J13" s="63"/>
      <c r="K13" s="56" t="s">
        <v>97</v>
      </c>
      <c r="L13" s="55" t="s">
        <v>91</v>
      </c>
      <c r="M13" s="2"/>
      <c r="N13" s="55" t="s">
        <v>272</v>
      </c>
      <c r="O13" s="63"/>
      <c r="P13" s="63"/>
      <c r="Q13" s="2"/>
      <c r="R13" s="2"/>
      <c r="S13" s="2">
        <v>1</v>
      </c>
      <c r="T13" s="63"/>
    </row>
    <row r="14" spans="1:20" x14ac:dyDescent="0.25">
      <c r="A14" s="9">
        <v>12</v>
      </c>
      <c r="B14" s="44" t="s">
        <v>100</v>
      </c>
      <c r="C14" s="63"/>
      <c r="D14" s="55" t="s">
        <v>273</v>
      </c>
      <c r="E14" s="56"/>
      <c r="F14" s="55" t="s">
        <v>106</v>
      </c>
      <c r="G14" s="63"/>
      <c r="H14" s="55" t="s">
        <v>107</v>
      </c>
      <c r="I14" s="63"/>
      <c r="J14" s="2"/>
      <c r="K14" s="56" t="s">
        <v>102</v>
      </c>
      <c r="L14" s="55" t="s">
        <v>98</v>
      </c>
      <c r="M14" s="57"/>
      <c r="N14" s="55" t="s">
        <v>274</v>
      </c>
      <c r="O14" s="44" t="s">
        <v>110</v>
      </c>
      <c r="P14" s="63"/>
      <c r="Q14" s="2" t="s">
        <v>111</v>
      </c>
      <c r="R14" s="79" t="s">
        <v>114</v>
      </c>
      <c r="S14" s="63"/>
      <c r="T14" s="63"/>
    </row>
    <row r="15" spans="1:20" x14ac:dyDescent="0.25">
      <c r="A15" s="9">
        <v>13</v>
      </c>
      <c r="B15" s="40" t="s">
        <v>104</v>
      </c>
      <c r="D15" s="63"/>
      <c r="E15" s="56"/>
      <c r="F15" s="55" t="s">
        <v>112</v>
      </c>
      <c r="G15" s="63"/>
      <c r="H15" s="63"/>
      <c r="I15" s="63"/>
      <c r="J15" s="2"/>
      <c r="K15" s="56" t="s">
        <v>108</v>
      </c>
      <c r="L15" s="40" t="s">
        <v>103</v>
      </c>
      <c r="M15" s="63"/>
      <c r="N15" s="55" t="s">
        <v>246</v>
      </c>
      <c r="O15" s="56" t="s">
        <v>115</v>
      </c>
      <c r="P15" s="63"/>
      <c r="Q15" s="63"/>
      <c r="R15" s="17" t="s">
        <v>116</v>
      </c>
      <c r="S15" s="44" t="s">
        <v>117</v>
      </c>
      <c r="T15" s="63"/>
    </row>
    <row r="16" spans="1:20" x14ac:dyDescent="0.25">
      <c r="A16" s="9">
        <v>14</v>
      </c>
      <c r="B16" s="2"/>
      <c r="C16" s="63"/>
      <c r="D16" s="56"/>
      <c r="E16" s="56"/>
      <c r="F16" s="55" t="s">
        <v>275</v>
      </c>
      <c r="G16" s="63"/>
      <c r="H16" s="2"/>
      <c r="I16" s="56"/>
      <c r="J16" s="79" t="s">
        <v>222</v>
      </c>
      <c r="K16" s="54" t="s">
        <v>310</v>
      </c>
      <c r="L16" s="40" t="s">
        <v>109</v>
      </c>
      <c r="M16" s="2">
        <v>6</v>
      </c>
      <c r="N16" s="55" t="s">
        <v>276</v>
      </c>
      <c r="O16" s="55" t="s">
        <v>118</v>
      </c>
      <c r="P16" s="63"/>
      <c r="Q16" s="45"/>
      <c r="R16" s="55" t="s">
        <v>119</v>
      </c>
      <c r="S16" s="63"/>
      <c r="T16" s="63"/>
    </row>
    <row r="17" spans="1:20" x14ac:dyDescent="0.25">
      <c r="A17" s="9">
        <v>15</v>
      </c>
      <c r="B17" s="2">
        <v>1</v>
      </c>
      <c r="C17" s="63"/>
      <c r="D17" s="56"/>
      <c r="E17" s="56"/>
      <c r="F17" s="55" t="s">
        <v>277</v>
      </c>
      <c r="G17" s="63"/>
      <c r="H17" s="2" t="s">
        <v>114</v>
      </c>
      <c r="I17" s="63"/>
      <c r="J17" s="63"/>
      <c r="L17" s="63"/>
      <c r="M17" s="46"/>
      <c r="N17" s="19" t="s">
        <v>278</v>
      </c>
      <c r="O17" s="54" t="s">
        <v>311</v>
      </c>
      <c r="P17" s="63"/>
      <c r="Q17" s="56" t="s">
        <v>122</v>
      </c>
      <c r="R17" s="56" t="s">
        <v>123</v>
      </c>
      <c r="S17" s="63"/>
      <c r="T17" s="63"/>
    </row>
    <row r="18" spans="1:20" ht="14.4" x14ac:dyDescent="0.3">
      <c r="A18" s="9">
        <v>16</v>
      </c>
      <c r="B18" s="55" t="s">
        <v>120</v>
      </c>
      <c r="C18" s="56"/>
      <c r="D18" s="56"/>
      <c r="E18" s="56"/>
      <c r="F18" s="54" t="s">
        <v>312</v>
      </c>
      <c r="G18" s="42"/>
      <c r="H18" s="17" t="s">
        <v>125</v>
      </c>
      <c r="I18" s="17" t="s">
        <v>121</v>
      </c>
      <c r="J18" s="63"/>
      <c r="K18" s="63"/>
      <c r="L18" s="63"/>
      <c r="M18" s="46"/>
      <c r="N18" s="54" t="s">
        <v>313</v>
      </c>
      <c r="O18" s="110" t="s">
        <v>314</v>
      </c>
      <c r="P18" s="63"/>
      <c r="Q18" s="56" t="s">
        <v>127</v>
      </c>
      <c r="R18" s="56" t="s">
        <v>128</v>
      </c>
      <c r="S18" s="63"/>
      <c r="T18" s="63"/>
    </row>
    <row r="19" spans="1:20" x14ac:dyDescent="0.25">
      <c r="A19" s="9">
        <v>17</v>
      </c>
      <c r="B19" s="55" t="s">
        <v>124</v>
      </c>
      <c r="C19" s="56"/>
      <c r="D19" s="56"/>
      <c r="E19" s="56"/>
      <c r="F19" s="55" t="s">
        <v>43</v>
      </c>
      <c r="G19" s="63"/>
      <c r="H19" s="55" t="s">
        <v>131</v>
      </c>
      <c r="I19" s="63"/>
      <c r="J19" s="63"/>
      <c r="K19" s="63"/>
      <c r="L19" s="17" t="s">
        <v>126</v>
      </c>
      <c r="M19" s="63"/>
      <c r="N19" s="54" t="s">
        <v>315</v>
      </c>
      <c r="O19" s="63"/>
      <c r="P19" s="47"/>
      <c r="Q19" s="56" t="s">
        <v>132</v>
      </c>
      <c r="R19" s="63"/>
      <c r="S19" s="55"/>
      <c r="T19" s="63"/>
    </row>
    <row r="20" spans="1:20" x14ac:dyDescent="0.25">
      <c r="A20" s="9">
        <v>18</v>
      </c>
      <c r="B20" s="55" t="s">
        <v>129</v>
      </c>
      <c r="C20" s="56"/>
      <c r="D20" s="56"/>
      <c r="E20" s="63"/>
      <c r="F20" s="55" t="s">
        <v>78</v>
      </c>
      <c r="G20" s="63"/>
      <c r="H20" s="55" t="s">
        <v>134</v>
      </c>
      <c r="I20" s="63"/>
      <c r="J20" s="63"/>
      <c r="K20" s="63"/>
      <c r="L20" s="54" t="s">
        <v>316</v>
      </c>
      <c r="M20" s="63"/>
      <c r="N20" s="54" t="s">
        <v>317</v>
      </c>
      <c r="O20" s="63"/>
      <c r="P20" s="47"/>
      <c r="Q20" s="44" t="s">
        <v>135</v>
      </c>
      <c r="R20" s="63"/>
      <c r="S20" s="63"/>
      <c r="T20" s="58"/>
    </row>
    <row r="21" spans="1:20" ht="14.4" x14ac:dyDescent="0.3">
      <c r="A21" s="9">
        <v>19</v>
      </c>
      <c r="B21" s="55" t="s">
        <v>133</v>
      </c>
      <c r="C21" s="56"/>
      <c r="D21" s="56"/>
      <c r="E21" s="56"/>
      <c r="F21" s="55"/>
      <c r="G21" s="44" t="s">
        <v>136</v>
      </c>
      <c r="H21" s="56"/>
      <c r="I21" s="63"/>
      <c r="J21" s="63"/>
      <c r="K21" s="63"/>
      <c r="L21" s="54" t="s">
        <v>318</v>
      </c>
      <c r="M21" s="63"/>
      <c r="N21" s="55"/>
      <c r="O21" s="63"/>
      <c r="P21" s="47"/>
      <c r="Q21" s="42"/>
      <c r="R21" s="48">
        <v>3</v>
      </c>
      <c r="S21" s="63"/>
      <c r="T21" s="58"/>
    </row>
    <row r="22" spans="1:20" x14ac:dyDescent="0.25">
      <c r="A22" s="9">
        <v>20</v>
      </c>
      <c r="B22" s="63"/>
      <c r="C22" s="56"/>
      <c r="D22" s="55"/>
      <c r="E22" s="56"/>
      <c r="F22" s="55"/>
      <c r="G22" s="63"/>
      <c r="H22" s="63"/>
      <c r="I22" s="63"/>
      <c r="J22" s="122"/>
      <c r="K22" s="63"/>
      <c r="L22" s="55" t="s">
        <v>284</v>
      </c>
      <c r="M22" s="63"/>
      <c r="N22" s="55"/>
      <c r="O22" s="63"/>
      <c r="P22" s="63"/>
      <c r="Q22" s="17" t="s">
        <v>139</v>
      </c>
      <c r="R22" s="17" t="s">
        <v>140</v>
      </c>
      <c r="S22" s="17" t="s">
        <v>141</v>
      </c>
      <c r="T22" s="58"/>
    </row>
    <row r="23" spans="1:20" x14ac:dyDescent="0.25">
      <c r="A23" s="9">
        <v>21</v>
      </c>
      <c r="B23" s="44" t="s">
        <v>137</v>
      </c>
      <c r="C23" s="56"/>
      <c r="D23" s="55"/>
      <c r="E23" s="56"/>
      <c r="F23" s="56"/>
      <c r="G23" s="63"/>
      <c r="H23" s="2">
        <v>2</v>
      </c>
      <c r="I23" s="63"/>
      <c r="J23" s="63"/>
      <c r="K23" s="63"/>
      <c r="L23" s="55" t="s">
        <v>285</v>
      </c>
      <c r="M23" s="63"/>
      <c r="N23" s="55"/>
      <c r="O23" s="63"/>
      <c r="P23" s="63"/>
      <c r="Q23" s="54" t="s">
        <v>145</v>
      </c>
      <c r="R23" s="56" t="s">
        <v>146</v>
      </c>
      <c r="S23" s="63"/>
      <c r="T23" s="63"/>
    </row>
    <row r="24" spans="1:20" x14ac:dyDescent="0.25">
      <c r="A24" s="9">
        <v>22</v>
      </c>
      <c r="B24" s="55" t="s">
        <v>142</v>
      </c>
      <c r="C24" s="56"/>
      <c r="D24" s="55"/>
      <c r="E24" s="56"/>
      <c r="F24" s="63"/>
      <c r="G24" s="63"/>
      <c r="H24" s="17" t="s">
        <v>147</v>
      </c>
      <c r="I24" s="63"/>
      <c r="J24" s="63"/>
      <c r="K24" s="56"/>
      <c r="L24" s="56" t="s">
        <v>148</v>
      </c>
      <c r="M24" s="63"/>
      <c r="N24" s="55"/>
      <c r="O24" s="63"/>
      <c r="P24" s="63"/>
      <c r="Q24" s="54" t="s">
        <v>149</v>
      </c>
      <c r="R24" s="56" t="s">
        <v>256</v>
      </c>
      <c r="S24" s="63"/>
      <c r="T24" s="63"/>
    </row>
    <row r="25" spans="1:20" ht="14.4" x14ac:dyDescent="0.3">
      <c r="A25" s="9">
        <v>23</v>
      </c>
      <c r="B25" s="2">
        <v>1</v>
      </c>
      <c r="C25" s="56"/>
      <c r="D25" s="56"/>
      <c r="E25" s="56"/>
      <c r="F25" s="56" t="s">
        <v>150</v>
      </c>
      <c r="G25" s="63"/>
      <c r="H25" s="55" t="s">
        <v>151</v>
      </c>
      <c r="I25" s="63"/>
      <c r="J25" s="42"/>
      <c r="K25" s="63"/>
      <c r="L25" s="55" t="s">
        <v>143</v>
      </c>
      <c r="M25" s="63"/>
      <c r="N25" s="55"/>
      <c r="O25" s="63"/>
      <c r="P25" s="63"/>
      <c r="Q25" s="54" t="s">
        <v>153</v>
      </c>
      <c r="R25" s="63"/>
      <c r="S25" s="63"/>
      <c r="T25" s="63"/>
    </row>
    <row r="26" spans="1:20" x14ac:dyDescent="0.25">
      <c r="A26" s="9">
        <v>24</v>
      </c>
      <c r="B26" s="63"/>
      <c r="C26" s="55"/>
      <c r="D26" s="55"/>
      <c r="E26" s="56"/>
      <c r="F26" s="56" t="s">
        <v>154</v>
      </c>
      <c r="G26" s="63"/>
      <c r="H26" s="55"/>
      <c r="I26" s="63"/>
      <c r="J26" s="63"/>
      <c r="K26" s="63"/>
      <c r="M26" s="63"/>
      <c r="N26" s="55"/>
      <c r="O26" s="63"/>
      <c r="P26" s="63"/>
      <c r="Q26" s="54" t="s">
        <v>319</v>
      </c>
      <c r="R26" s="63"/>
      <c r="S26" s="63"/>
      <c r="T26" s="63"/>
    </row>
    <row r="27" spans="1:20" ht="14.4" x14ac:dyDescent="0.3">
      <c r="A27" s="9">
        <v>25</v>
      </c>
      <c r="B27" s="63"/>
      <c r="C27" s="55"/>
      <c r="D27" s="55"/>
      <c r="E27" s="56"/>
      <c r="F27" s="63"/>
      <c r="G27" s="63"/>
      <c r="H27" s="2">
        <v>1</v>
      </c>
      <c r="I27" s="63"/>
      <c r="J27" s="55"/>
      <c r="K27" s="63"/>
      <c r="L27" s="2"/>
      <c r="M27" s="46"/>
      <c r="N27" s="2" t="s">
        <v>155</v>
      </c>
      <c r="O27" s="63"/>
      <c r="P27" s="42"/>
      <c r="Q27" s="56" t="s">
        <v>156</v>
      </c>
      <c r="R27" s="2">
        <v>1</v>
      </c>
      <c r="S27" s="49"/>
      <c r="T27" s="63"/>
    </row>
    <row r="28" spans="1:20" x14ac:dyDescent="0.25">
      <c r="A28" s="9">
        <v>26</v>
      </c>
      <c r="B28" s="2"/>
      <c r="C28" s="63"/>
      <c r="D28" s="55"/>
      <c r="E28" s="63"/>
      <c r="F28" s="63"/>
      <c r="G28" s="63"/>
      <c r="H28" s="63"/>
      <c r="I28" s="63"/>
      <c r="J28" s="63"/>
      <c r="K28" s="63"/>
      <c r="L28" s="48" t="s">
        <v>225</v>
      </c>
      <c r="M28" s="63"/>
      <c r="N28" s="44" t="s">
        <v>110</v>
      </c>
      <c r="O28" s="63"/>
      <c r="P28" s="63"/>
      <c r="Q28" s="55"/>
      <c r="R28" s="59"/>
      <c r="S28" s="63"/>
      <c r="T28" s="63"/>
    </row>
    <row r="29" spans="1:20" x14ac:dyDescent="0.25">
      <c r="A29" s="9">
        <v>27</v>
      </c>
      <c r="B29" s="63"/>
      <c r="C29" s="63"/>
      <c r="D29" s="56"/>
      <c r="E29" s="63"/>
      <c r="F29" s="63"/>
      <c r="G29" s="63"/>
      <c r="H29" s="63"/>
      <c r="I29" s="63"/>
      <c r="J29" s="55"/>
      <c r="K29" s="2"/>
      <c r="L29" s="63"/>
      <c r="M29" s="63"/>
      <c r="N29" s="56" t="s">
        <v>158</v>
      </c>
      <c r="O29" s="63"/>
      <c r="P29" s="55"/>
      <c r="Q29" s="2"/>
      <c r="R29" s="63"/>
      <c r="S29" s="63"/>
      <c r="T29" s="63"/>
    </row>
    <row r="30" spans="1:20" x14ac:dyDescent="0.25">
      <c r="A30" s="9">
        <v>28</v>
      </c>
      <c r="B30" s="63"/>
      <c r="C30" s="2"/>
      <c r="D30" s="2"/>
      <c r="E30" s="63"/>
      <c r="F30" s="2"/>
      <c r="G30" s="2"/>
      <c r="H30" s="56"/>
      <c r="I30" s="63"/>
      <c r="J30" s="55"/>
      <c r="K30" s="2"/>
      <c r="L30" s="63"/>
      <c r="M30" s="63"/>
      <c r="N30" s="56" t="s">
        <v>159</v>
      </c>
      <c r="O30" s="63"/>
      <c r="P30" s="63"/>
      <c r="Q30" s="2"/>
      <c r="R30" s="63"/>
      <c r="S30" s="55"/>
      <c r="T30" s="63"/>
    </row>
    <row r="31" spans="1:20" x14ac:dyDescent="0.25">
      <c r="A31" s="9">
        <v>29</v>
      </c>
      <c r="B31" s="63"/>
      <c r="C31" s="2"/>
      <c r="D31" s="2"/>
      <c r="E31" s="63"/>
      <c r="F31" s="2"/>
      <c r="G31" s="2"/>
      <c r="H31" s="63"/>
      <c r="I31" s="63"/>
      <c r="J31" s="55"/>
      <c r="K31" s="63"/>
      <c r="L31" s="56" t="s">
        <v>157</v>
      </c>
      <c r="M31" s="63"/>
      <c r="N31" s="2"/>
      <c r="O31" s="63"/>
      <c r="P31" s="63"/>
      <c r="Q31" s="2" t="s">
        <v>160</v>
      </c>
      <c r="R31" s="63"/>
      <c r="S31" s="63"/>
      <c r="T31" s="63"/>
    </row>
    <row r="32" spans="1:20" x14ac:dyDescent="0.25">
      <c r="A32" s="9">
        <v>30</v>
      </c>
      <c r="B32" s="63"/>
      <c r="C32" s="2" t="s">
        <v>161</v>
      </c>
      <c r="D32" s="2" t="s">
        <v>224</v>
      </c>
      <c r="E32" s="2"/>
      <c r="F32" s="2" t="s">
        <v>162</v>
      </c>
      <c r="G32" s="2" t="s">
        <v>163</v>
      </c>
      <c r="H32" s="63"/>
      <c r="I32" s="63"/>
      <c r="J32" s="55"/>
      <c r="K32" s="80" t="s">
        <v>223</v>
      </c>
      <c r="L32" s="2">
        <v>7</v>
      </c>
      <c r="M32" s="63"/>
      <c r="N32" s="2"/>
      <c r="O32" s="63"/>
      <c r="P32" s="63"/>
      <c r="Q32" s="40"/>
      <c r="R32" s="63"/>
      <c r="S32" s="63"/>
      <c r="T32" s="63"/>
    </row>
    <row r="33" spans="1:20" x14ac:dyDescent="0.25">
      <c r="A33" s="9"/>
      <c r="B33" s="24" t="s">
        <v>164</v>
      </c>
      <c r="C33" s="24" t="s">
        <v>165</v>
      </c>
      <c r="D33" s="25"/>
      <c r="E33" s="24" t="s">
        <v>166</v>
      </c>
      <c r="F33" s="24"/>
      <c r="G33" s="25"/>
      <c r="H33" s="26"/>
      <c r="I33" s="27"/>
      <c r="J33" s="28"/>
      <c r="K33" s="29"/>
      <c r="L33" s="30" t="s">
        <v>167</v>
      </c>
      <c r="M33" s="26"/>
      <c r="N33" s="28"/>
      <c r="O33" s="26"/>
      <c r="P33" s="26"/>
      <c r="Q33" s="31"/>
      <c r="R33" s="26"/>
      <c r="S33" s="32" t="s">
        <v>168</v>
      </c>
      <c r="T33" s="33"/>
    </row>
    <row r="34" spans="1:20" x14ac:dyDescent="0.25">
      <c r="A34" s="9">
        <v>1</v>
      </c>
      <c r="B34" s="63"/>
      <c r="C34" s="56" t="s">
        <v>169</v>
      </c>
      <c r="D34" s="63"/>
      <c r="E34" s="63"/>
      <c r="F34" s="56"/>
      <c r="G34" s="50"/>
      <c r="H34" s="63"/>
      <c r="I34" s="63"/>
      <c r="J34" s="55"/>
      <c r="K34" s="63"/>
      <c r="L34" s="56" t="s">
        <v>170</v>
      </c>
      <c r="M34" s="63"/>
      <c r="N34" s="55"/>
      <c r="O34" s="63"/>
      <c r="P34" s="63"/>
      <c r="Q34" s="60"/>
      <c r="R34" s="63"/>
      <c r="S34" s="56" t="s">
        <v>171</v>
      </c>
      <c r="T34" s="63"/>
    </row>
    <row r="35" spans="1:20" ht="14.4" x14ac:dyDescent="0.3">
      <c r="A35" s="9">
        <v>2</v>
      </c>
      <c r="B35" s="11"/>
      <c r="C35" s="11"/>
      <c r="D35" s="11"/>
      <c r="E35" s="11"/>
      <c r="F35" s="52"/>
      <c r="G35" s="23"/>
      <c r="H35" s="11"/>
      <c r="I35" s="14"/>
      <c r="J35" s="52"/>
      <c r="K35" s="42"/>
      <c r="L35" s="85"/>
      <c r="M35" s="11"/>
      <c r="N35" s="19"/>
      <c r="O35" s="11"/>
      <c r="P35" s="11"/>
      <c r="Q35" s="34"/>
      <c r="R35" s="11"/>
      <c r="S35" s="56" t="s">
        <v>172</v>
      </c>
      <c r="T35" s="7"/>
    </row>
    <row r="36" spans="1:20" x14ac:dyDescent="0.25">
      <c r="A36" s="9">
        <v>3</v>
      </c>
      <c r="B36" s="11"/>
      <c r="C36" s="11"/>
      <c r="D36" s="11"/>
      <c r="E36" s="20"/>
      <c r="F36" s="20"/>
      <c r="G36" s="23"/>
      <c r="H36" s="11"/>
      <c r="I36" s="14"/>
      <c r="J36" s="19"/>
      <c r="K36" s="5"/>
      <c r="L36" s="11">
        <v>9</v>
      </c>
      <c r="M36" s="11"/>
      <c r="N36" s="19"/>
      <c r="O36" s="11"/>
      <c r="P36" s="11"/>
      <c r="Q36" s="34"/>
      <c r="R36" s="11"/>
      <c r="S36" s="63"/>
      <c r="T36" s="7"/>
    </row>
    <row r="37" spans="1:20" ht="14.4" x14ac:dyDescent="0.3">
      <c r="A37" s="9">
        <v>4</v>
      </c>
      <c r="B37" s="24" t="s">
        <v>173</v>
      </c>
      <c r="C37" s="22" t="s">
        <v>174</v>
      </c>
      <c r="D37" s="11"/>
      <c r="E37" s="42"/>
      <c r="F37" s="35"/>
      <c r="G37" s="23"/>
      <c r="H37" s="11"/>
      <c r="I37" s="11"/>
      <c r="J37" s="19"/>
      <c r="K37" s="11"/>
      <c r="L37" s="56" t="s">
        <v>175</v>
      </c>
      <c r="M37" s="11"/>
      <c r="N37" s="19"/>
      <c r="O37" s="11"/>
      <c r="P37" s="11"/>
      <c r="Q37" s="34"/>
      <c r="R37" s="13"/>
      <c r="S37" s="53"/>
      <c r="T37" s="7"/>
    </row>
    <row r="38" spans="1:20" x14ac:dyDescent="0.25">
      <c r="A38" s="9">
        <v>5</v>
      </c>
      <c r="B38" s="11"/>
      <c r="C38" s="13"/>
      <c r="D38" s="11"/>
      <c r="E38" s="52"/>
      <c r="F38" s="23"/>
      <c r="G38" s="23"/>
      <c r="H38" s="11"/>
      <c r="I38" s="14"/>
      <c r="J38" s="19"/>
      <c r="K38" s="5"/>
      <c r="L38" s="19"/>
      <c r="M38" s="11"/>
      <c r="N38" s="19"/>
      <c r="O38" s="11"/>
      <c r="P38" s="11"/>
      <c r="Q38" s="34"/>
      <c r="R38" s="11"/>
      <c r="S38" s="11">
        <v>4</v>
      </c>
      <c r="T38" s="7"/>
    </row>
    <row r="40" spans="1:20" ht="14.4" x14ac:dyDescent="0.3">
      <c r="A40" s="86"/>
      <c r="B40" s="87"/>
      <c r="C40" s="88"/>
      <c r="D40" s="88"/>
      <c r="E40" s="88"/>
      <c r="F40" s="88"/>
      <c r="G40" s="88"/>
      <c r="H40" s="89"/>
      <c r="I40" s="89"/>
      <c r="J40" s="90"/>
      <c r="K40" s="89"/>
      <c r="L40" s="88"/>
      <c r="M40" s="91"/>
      <c r="N40" s="88"/>
      <c r="O40" s="92"/>
      <c r="P40" s="88"/>
      <c r="Q40" s="93"/>
      <c r="R40" s="88"/>
      <c r="S40" s="88"/>
      <c r="T40" s="94"/>
    </row>
    <row r="41" spans="1:20" ht="14.4" x14ac:dyDescent="0.3">
      <c r="A41" s="86"/>
      <c r="B41" s="3" t="s">
        <v>177</v>
      </c>
      <c r="C41" s="67"/>
      <c r="D41" s="63"/>
      <c r="E41" s="67"/>
      <c r="F41" s="93"/>
      <c r="G41" s="93"/>
      <c r="H41" s="93"/>
      <c r="I41" s="93"/>
      <c r="J41" s="95"/>
      <c r="K41" s="95"/>
      <c r="L41" s="267" t="s">
        <v>176</v>
      </c>
      <c r="M41" s="267"/>
      <c r="N41" s="267"/>
      <c r="O41" s="267"/>
      <c r="P41" s="267"/>
      <c r="Q41" s="268"/>
    </row>
    <row r="42" spans="1:20" ht="14.4" x14ac:dyDescent="0.3">
      <c r="A42" s="86"/>
      <c r="B42" s="15" t="s">
        <v>179</v>
      </c>
      <c r="C42" s="37">
        <v>87019533922</v>
      </c>
      <c r="D42" s="15" t="s">
        <v>180</v>
      </c>
      <c r="E42" s="65"/>
      <c r="F42" s="88"/>
      <c r="G42" s="88"/>
      <c r="H42" s="92"/>
      <c r="I42" s="88"/>
      <c r="J42" s="90"/>
      <c r="K42" s="96"/>
      <c r="L42" s="13"/>
      <c r="M42" s="13"/>
      <c r="N42" s="9" t="s">
        <v>182</v>
      </c>
      <c r="O42" s="9" t="s">
        <v>183</v>
      </c>
      <c r="P42" s="9" t="s">
        <v>184</v>
      </c>
      <c r="Q42" s="63" t="s">
        <v>185</v>
      </c>
      <c r="R42" s="14"/>
      <c r="S42" s="97"/>
      <c r="T42" s="94"/>
    </row>
    <row r="43" spans="1:20" ht="14.4" x14ac:dyDescent="0.3">
      <c r="A43" s="86"/>
      <c r="B43" s="15"/>
      <c r="C43" s="15"/>
      <c r="D43" s="15"/>
      <c r="E43" s="65"/>
      <c r="F43" s="88"/>
      <c r="G43" s="88"/>
      <c r="H43" s="92"/>
      <c r="I43" s="88"/>
      <c r="J43" s="96"/>
      <c r="K43" s="96"/>
      <c r="L43" s="15" t="s">
        <v>178</v>
      </c>
      <c r="M43" s="15" t="s">
        <v>181</v>
      </c>
      <c r="N43" s="15">
        <v>120</v>
      </c>
      <c r="O43" s="15">
        <v>120</v>
      </c>
      <c r="P43" s="16"/>
      <c r="Q43" s="63"/>
      <c r="R43" s="68"/>
      <c r="S43" s="98"/>
      <c r="T43" s="94"/>
    </row>
    <row r="44" spans="1:20" ht="14.4" x14ac:dyDescent="0.3">
      <c r="A44" s="86"/>
      <c r="B44" s="15" t="s">
        <v>188</v>
      </c>
      <c r="C44" s="15">
        <v>87018884483</v>
      </c>
      <c r="D44" s="15" t="s">
        <v>189</v>
      </c>
      <c r="E44" s="69" t="s">
        <v>190</v>
      </c>
      <c r="F44" s="88"/>
      <c r="G44" s="88"/>
      <c r="H44" s="92"/>
      <c r="I44" s="88"/>
      <c r="J44" s="96"/>
      <c r="K44" s="96"/>
      <c r="L44" s="15"/>
      <c r="M44" s="15" t="s">
        <v>187</v>
      </c>
      <c r="N44" s="15">
        <v>28</v>
      </c>
      <c r="O44" s="15">
        <v>28</v>
      </c>
      <c r="P44" s="16"/>
      <c r="Q44" s="63"/>
      <c r="R44" s="9"/>
      <c r="S44" s="99"/>
      <c r="T44" s="92"/>
    </row>
    <row r="45" spans="1:20" ht="14.4" x14ac:dyDescent="0.3">
      <c r="A45" s="100"/>
      <c r="B45" s="81" t="s">
        <v>188</v>
      </c>
      <c r="C45" s="81">
        <v>87019534037</v>
      </c>
      <c r="D45" s="81" t="s">
        <v>191</v>
      </c>
      <c r="E45" s="67" t="s">
        <v>192</v>
      </c>
      <c r="F45" s="93"/>
      <c r="G45" s="93"/>
      <c r="H45" s="93"/>
      <c r="I45" s="93"/>
      <c r="J45" s="101"/>
      <c r="K45" s="102"/>
      <c r="L45" s="82" t="s">
        <v>186</v>
      </c>
      <c r="M45" s="82" t="s">
        <v>181</v>
      </c>
      <c r="N45" s="82">
        <v>14</v>
      </c>
      <c r="O45" s="82">
        <v>14</v>
      </c>
      <c r="P45" s="83">
        <v>0</v>
      </c>
      <c r="Q45" s="63"/>
      <c r="R45" s="84"/>
      <c r="S45" s="103"/>
      <c r="T45" s="92"/>
    </row>
    <row r="46" spans="1:20" ht="13.8" x14ac:dyDescent="0.3">
      <c r="A46" s="89"/>
      <c r="B46" s="89"/>
      <c r="C46" s="89"/>
      <c r="D46" s="89"/>
      <c r="E46" s="89"/>
      <c r="F46" s="89"/>
      <c r="G46" s="88"/>
      <c r="H46" s="88"/>
      <c r="I46" s="88"/>
      <c r="J46" s="104"/>
      <c r="K46" s="96"/>
      <c r="L46" s="6"/>
      <c r="M46" s="6" t="s">
        <v>187</v>
      </c>
      <c r="N46" s="6">
        <v>8</v>
      </c>
      <c r="O46" s="6">
        <v>8</v>
      </c>
      <c r="P46" s="16">
        <v>0</v>
      </c>
      <c r="Q46" s="63"/>
      <c r="R46" s="11"/>
      <c r="S46" s="91"/>
      <c r="T46" s="92"/>
    </row>
    <row r="47" spans="1:20" ht="13.8" x14ac:dyDescent="0.3">
      <c r="A47" s="88"/>
      <c r="B47" s="88"/>
      <c r="C47" s="88"/>
      <c r="D47" s="88"/>
      <c r="E47" s="88"/>
      <c r="F47" s="88"/>
      <c r="G47" s="88"/>
      <c r="H47" s="88"/>
      <c r="I47" s="88"/>
      <c r="J47" s="105"/>
      <c r="L47" s="13"/>
      <c r="M47" s="9" t="s">
        <v>193</v>
      </c>
      <c r="N47" s="15">
        <v>170</v>
      </c>
      <c r="O47" s="15">
        <v>170</v>
      </c>
      <c r="P47" s="16">
        <v>0</v>
      </c>
      <c r="Q47" s="70"/>
      <c r="R47" s="71"/>
      <c r="S47" s="106"/>
      <c r="T47" s="92"/>
    </row>
    <row r="48" spans="1:20" ht="13.8" x14ac:dyDescent="0.3">
      <c r="A48" s="89"/>
      <c r="B48" s="89"/>
      <c r="C48" s="89"/>
      <c r="D48" s="89"/>
      <c r="E48" s="89"/>
      <c r="F48" s="89"/>
      <c r="G48" s="89"/>
      <c r="H48" s="88"/>
      <c r="I48" s="88"/>
      <c r="J48" s="105"/>
      <c r="L48" s="65"/>
      <c r="M48" s="65"/>
      <c r="N48" s="65"/>
      <c r="O48" s="65"/>
      <c r="P48" s="65"/>
      <c r="Q48" s="72"/>
      <c r="R48" s="73"/>
      <c r="S48" s="107"/>
      <c r="T48" s="92"/>
    </row>
    <row r="49" spans="1:19" ht="26.4" x14ac:dyDescent="0.25">
      <c r="A49" s="269" t="s">
        <v>196</v>
      </c>
      <c r="B49" s="270" t="s">
        <v>197</v>
      </c>
      <c r="C49" s="270"/>
      <c r="D49" s="270"/>
      <c r="E49" s="270"/>
      <c r="F49" s="271"/>
      <c r="G49" s="271"/>
      <c r="H49" s="271"/>
      <c r="I49" s="271"/>
      <c r="J49" s="105"/>
      <c r="L49" s="4" t="s">
        <v>194</v>
      </c>
      <c r="M49" s="4"/>
      <c r="N49" s="4">
        <v>30</v>
      </c>
      <c r="O49" s="4">
        <v>28</v>
      </c>
      <c r="P49" s="14">
        <v>-2</v>
      </c>
      <c r="Q49" s="75" t="s">
        <v>320</v>
      </c>
      <c r="R49" s="74"/>
      <c r="S49" s="108"/>
    </row>
    <row r="50" spans="1:19" ht="13.8" x14ac:dyDescent="0.3">
      <c r="A50" s="269"/>
      <c r="B50" s="9" t="s">
        <v>198</v>
      </c>
      <c r="C50" s="9" t="s">
        <v>199</v>
      </c>
      <c r="D50" s="9" t="s">
        <v>182</v>
      </c>
      <c r="E50" s="9" t="s">
        <v>200</v>
      </c>
      <c r="F50" s="9" t="s">
        <v>201</v>
      </c>
      <c r="G50" s="9" t="s">
        <v>183</v>
      </c>
      <c r="H50" s="36" t="s">
        <v>202</v>
      </c>
      <c r="I50" s="21" t="s">
        <v>184</v>
      </c>
      <c r="J50" s="105"/>
      <c r="L50" s="92"/>
      <c r="M50" s="92"/>
      <c r="N50" s="92"/>
      <c r="O50" s="92"/>
      <c r="P50" s="92"/>
      <c r="Q50" s="92"/>
      <c r="R50" s="92"/>
      <c r="S50" s="92"/>
    </row>
    <row r="51" spans="1:19" ht="13.8" x14ac:dyDescent="0.3">
      <c r="A51" s="63"/>
      <c r="B51" s="61"/>
      <c r="C51" s="61"/>
      <c r="D51" s="61"/>
      <c r="E51" s="61"/>
      <c r="F51" s="61"/>
      <c r="G51" s="61"/>
      <c r="H51" s="61"/>
      <c r="I51" s="61"/>
      <c r="J51" s="61"/>
      <c r="L51" s="92"/>
      <c r="M51" s="92"/>
      <c r="N51" s="92"/>
      <c r="O51" s="92"/>
      <c r="P51" s="92"/>
      <c r="Q51" s="92"/>
      <c r="R51" s="92"/>
      <c r="S51" s="92"/>
    </row>
    <row r="52" spans="1:19" ht="13.8" x14ac:dyDescent="0.3">
      <c r="A52" s="63">
        <v>13</v>
      </c>
      <c r="B52" s="63" t="s">
        <v>208</v>
      </c>
      <c r="C52" s="8">
        <v>162</v>
      </c>
      <c r="D52" s="21">
        <v>170</v>
      </c>
      <c r="E52" s="39">
        <v>130</v>
      </c>
      <c r="F52" s="9">
        <v>40</v>
      </c>
      <c r="G52" s="21">
        <v>170</v>
      </c>
      <c r="H52" s="36">
        <v>10</v>
      </c>
      <c r="I52" s="38">
        <v>0</v>
      </c>
      <c r="J52" s="63" t="s">
        <v>202</v>
      </c>
      <c r="L52" s="92"/>
      <c r="M52" s="92"/>
      <c r="N52" s="92"/>
      <c r="O52" s="92"/>
      <c r="P52" s="92"/>
      <c r="Q52" s="92"/>
      <c r="R52" s="92"/>
      <c r="S52" s="92"/>
    </row>
    <row r="53" spans="1:19" ht="13.8" x14ac:dyDescent="0.3">
      <c r="A53" s="63">
        <v>16</v>
      </c>
      <c r="B53" s="63" t="s">
        <v>210</v>
      </c>
      <c r="C53" s="8">
        <v>4</v>
      </c>
      <c r="D53" s="21">
        <v>4</v>
      </c>
      <c r="E53" s="4">
        <v>4</v>
      </c>
      <c r="F53" s="9">
        <v>0</v>
      </c>
      <c r="G53" s="21">
        <v>4</v>
      </c>
      <c r="H53" s="36">
        <v>0</v>
      </c>
      <c r="I53" s="38">
        <v>0</v>
      </c>
      <c r="J53" s="53"/>
      <c r="L53" s="66"/>
      <c r="M53" s="3" t="s">
        <v>203</v>
      </c>
      <c r="N53" s="3" t="s">
        <v>204</v>
      </c>
      <c r="O53" s="3" t="s">
        <v>205</v>
      </c>
      <c r="P53" s="3"/>
      <c r="Q53" s="45" t="s">
        <v>206</v>
      </c>
      <c r="R53" s="78"/>
      <c r="S53" s="92"/>
    </row>
    <row r="54" spans="1:19" ht="13.8" x14ac:dyDescent="0.3">
      <c r="A54" s="63">
        <v>19</v>
      </c>
      <c r="B54" s="63" t="s">
        <v>211</v>
      </c>
      <c r="C54" s="8">
        <v>0</v>
      </c>
      <c r="D54" s="21">
        <v>0</v>
      </c>
      <c r="E54" s="4">
        <v>0</v>
      </c>
      <c r="F54" s="9">
        <v>0</v>
      </c>
      <c r="G54" s="21">
        <v>0</v>
      </c>
      <c r="H54" s="36">
        <v>0</v>
      </c>
      <c r="I54" s="38">
        <v>0</v>
      </c>
      <c r="J54" s="53"/>
      <c r="L54" s="66"/>
      <c r="M54" s="119" t="s">
        <v>290</v>
      </c>
      <c r="N54" s="117" t="s">
        <v>268</v>
      </c>
      <c r="O54" s="118" t="s">
        <v>291</v>
      </c>
      <c r="P54" s="63"/>
      <c r="Q54" s="62" t="s">
        <v>207</v>
      </c>
      <c r="R54" s="77"/>
      <c r="S54" s="92"/>
    </row>
    <row r="55" spans="1:19" ht="13.8" x14ac:dyDescent="0.3">
      <c r="A55" s="63">
        <v>20</v>
      </c>
      <c r="B55" s="63" t="s">
        <v>212</v>
      </c>
      <c r="C55" s="8">
        <v>19</v>
      </c>
      <c r="D55" s="21">
        <v>19</v>
      </c>
      <c r="E55" s="4">
        <v>19</v>
      </c>
      <c r="F55" s="9">
        <v>0</v>
      </c>
      <c r="G55" s="21">
        <v>19</v>
      </c>
      <c r="H55" s="36">
        <v>0</v>
      </c>
      <c r="I55" s="38">
        <v>0</v>
      </c>
      <c r="J55" s="63"/>
      <c r="L55" s="66"/>
      <c r="M55" s="55"/>
      <c r="N55" s="57" t="s">
        <v>129</v>
      </c>
      <c r="O55" s="118" t="s">
        <v>291</v>
      </c>
      <c r="P55" s="63"/>
      <c r="Q55" s="62" t="s">
        <v>209</v>
      </c>
      <c r="R55" s="77"/>
      <c r="S55" s="92"/>
    </row>
    <row r="56" spans="1:19" ht="13.8" x14ac:dyDescent="0.3">
      <c r="A56" s="63">
        <v>30</v>
      </c>
      <c r="B56" s="63" t="s">
        <v>213</v>
      </c>
      <c r="C56" s="14">
        <v>0</v>
      </c>
      <c r="D56" s="21">
        <v>0</v>
      </c>
      <c r="E56" s="9">
        <v>0</v>
      </c>
      <c r="F56" s="9">
        <v>0</v>
      </c>
      <c r="G56" s="21">
        <v>0</v>
      </c>
      <c r="H56" s="36">
        <v>0</v>
      </c>
      <c r="I56" s="38">
        <v>0</v>
      </c>
      <c r="J56" s="53"/>
      <c r="L56" s="66"/>
      <c r="M56" s="56" t="s">
        <v>314</v>
      </c>
      <c r="N56" s="57"/>
      <c r="O56" s="118"/>
      <c r="P56" s="63"/>
      <c r="Q56" s="62" t="s">
        <v>289</v>
      </c>
      <c r="R56" s="77"/>
      <c r="S56" s="92"/>
    </row>
    <row r="57" spans="1:19" ht="13.8" x14ac:dyDescent="0.3">
      <c r="A57" s="63">
        <v>38</v>
      </c>
      <c r="B57" s="112" t="s">
        <v>288</v>
      </c>
      <c r="C57" s="14">
        <v>0</v>
      </c>
      <c r="D57" s="21">
        <v>0</v>
      </c>
      <c r="E57" s="9">
        <v>0</v>
      </c>
      <c r="F57" s="9">
        <v>0</v>
      </c>
      <c r="G57" s="21">
        <v>0</v>
      </c>
      <c r="H57" s="36">
        <v>0</v>
      </c>
      <c r="I57" s="38">
        <v>0</v>
      </c>
      <c r="J57" s="53"/>
      <c r="L57" s="66"/>
      <c r="M57" s="56"/>
      <c r="N57" s="57"/>
      <c r="O57" s="63"/>
      <c r="P57" s="63"/>
      <c r="Q57" s="63"/>
      <c r="R57" s="77"/>
      <c r="S57" s="92"/>
    </row>
    <row r="58" spans="1:19" ht="13.8" x14ac:dyDescent="0.3">
      <c r="A58" s="63">
        <v>27</v>
      </c>
      <c r="B58" s="63" t="s">
        <v>214</v>
      </c>
      <c r="C58" s="14">
        <v>2</v>
      </c>
      <c r="D58" s="21">
        <v>2</v>
      </c>
      <c r="E58" s="9">
        <v>1</v>
      </c>
      <c r="F58" s="9">
        <v>1</v>
      </c>
      <c r="G58" s="21">
        <v>2</v>
      </c>
      <c r="H58" s="36">
        <v>0</v>
      </c>
      <c r="I58" s="38">
        <v>0</v>
      </c>
      <c r="J58" s="53"/>
      <c r="S58" s="92"/>
    </row>
    <row r="59" spans="1:19" x14ac:dyDescent="0.25">
      <c r="A59" s="63">
        <v>40</v>
      </c>
      <c r="B59" s="63" t="s">
        <v>215</v>
      </c>
      <c r="C59" s="14">
        <v>4</v>
      </c>
      <c r="D59" s="21">
        <v>4</v>
      </c>
      <c r="E59" s="9">
        <v>4</v>
      </c>
      <c r="F59" s="9">
        <v>0</v>
      </c>
      <c r="G59" s="21">
        <v>4</v>
      </c>
      <c r="H59" s="36">
        <v>0</v>
      </c>
      <c r="I59" s="38">
        <v>0</v>
      </c>
      <c r="J59" s="63"/>
    </row>
    <row r="60" spans="1:19" x14ac:dyDescent="0.25">
      <c r="A60" s="63">
        <v>63</v>
      </c>
      <c r="B60" s="63" t="s">
        <v>216</v>
      </c>
      <c r="C60" s="14">
        <v>1</v>
      </c>
      <c r="D60" s="21">
        <v>1</v>
      </c>
      <c r="E60" s="9">
        <v>0</v>
      </c>
      <c r="F60" s="9">
        <v>0</v>
      </c>
      <c r="G60" s="21">
        <v>0</v>
      </c>
      <c r="H60" s="36">
        <v>0</v>
      </c>
      <c r="I60" s="38">
        <v>-1</v>
      </c>
      <c r="J60" s="63" t="s">
        <v>217</v>
      </c>
    </row>
    <row r="61" spans="1:19" ht="14.4" x14ac:dyDescent="0.3">
      <c r="A61" s="64"/>
      <c r="B61" s="65"/>
      <c r="C61" s="76"/>
      <c r="D61" s="66"/>
      <c r="E61" s="65"/>
      <c r="F61" s="66"/>
      <c r="G61" s="66"/>
      <c r="H61" s="66"/>
      <c r="I61" s="66"/>
      <c r="J61" s="65"/>
    </row>
    <row r="62" spans="1:19" ht="14.4" x14ac:dyDescent="0.3">
      <c r="A62" s="64"/>
      <c r="B62" s="9" t="s">
        <v>218</v>
      </c>
      <c r="C62" s="9">
        <v>192</v>
      </c>
      <c r="D62" s="21">
        <v>200</v>
      </c>
      <c r="E62" s="9">
        <v>158</v>
      </c>
      <c r="F62" s="9">
        <v>41</v>
      </c>
      <c r="G62" s="21">
        <f>SUM(G52:G60)</f>
        <v>199</v>
      </c>
      <c r="H62" s="36">
        <v>8</v>
      </c>
      <c r="I62" s="38">
        <v>-1</v>
      </c>
      <c r="J62" s="66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93D9D-B689-479A-9893-6422F008690C}">
  <dimension ref="A1:T62"/>
  <sheetViews>
    <sheetView zoomScale="85" zoomScaleNormal="85" workbookViewId="0">
      <selection activeCell="J21" sqref="J21"/>
    </sheetView>
  </sheetViews>
  <sheetFormatPr defaultRowHeight="13.2" x14ac:dyDescent="0.25"/>
  <cols>
    <col min="1" max="1" width="5.44140625" style="137" customWidth="1"/>
    <col min="2" max="2" width="17.5546875" style="137" customWidth="1"/>
    <col min="3" max="3" width="17.21875" style="137" customWidth="1"/>
    <col min="4" max="4" width="16.5546875" style="137" customWidth="1"/>
    <col min="5" max="5" width="16.77734375" style="137" customWidth="1"/>
    <col min="6" max="6" width="16.33203125" style="137" customWidth="1"/>
    <col min="7" max="7" width="16.44140625" style="137" customWidth="1"/>
    <col min="8" max="8" width="18.44140625" style="137" customWidth="1"/>
    <col min="9" max="9" width="16" style="137" customWidth="1"/>
    <col min="10" max="10" width="19.6640625" style="137" customWidth="1"/>
    <col min="11" max="11" width="17" style="137" customWidth="1"/>
    <col min="12" max="12" width="16.44140625" style="137" customWidth="1"/>
    <col min="13" max="13" width="15.5546875" style="137" customWidth="1"/>
    <col min="14" max="14" width="16.6640625" style="137" customWidth="1"/>
    <col min="15" max="15" width="15.109375" style="137" customWidth="1"/>
    <col min="16" max="16" width="15.88671875" style="137" customWidth="1"/>
    <col min="17" max="17" width="18.33203125" style="137" customWidth="1"/>
    <col min="18" max="18" width="16.77734375" style="137" customWidth="1"/>
    <col min="19" max="19" width="15.88671875" style="137" customWidth="1"/>
    <col min="20" max="20" width="17" style="137" customWidth="1"/>
    <col min="21" max="16384" width="8.88671875" style="137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50" t="s">
        <v>1</v>
      </c>
      <c r="C2" s="250" t="s">
        <v>2</v>
      </c>
      <c r="D2" s="265" t="s">
        <v>3</v>
      </c>
      <c r="E2" s="265"/>
      <c r="F2" s="250" t="s">
        <v>4</v>
      </c>
      <c r="G2" s="250" t="s">
        <v>5</v>
      </c>
      <c r="H2" s="251" t="s">
        <v>6</v>
      </c>
      <c r="I2" s="250" t="s">
        <v>7</v>
      </c>
      <c r="J2" s="250" t="s">
        <v>8</v>
      </c>
      <c r="K2" s="251" t="s">
        <v>9</v>
      </c>
      <c r="L2" s="251" t="s">
        <v>10</v>
      </c>
      <c r="M2" s="251" t="s">
        <v>11</v>
      </c>
      <c r="N2" s="266" t="s">
        <v>12</v>
      </c>
      <c r="O2" s="266"/>
      <c r="P2" s="250" t="s">
        <v>13</v>
      </c>
      <c r="Q2" s="250" t="s">
        <v>14</v>
      </c>
      <c r="R2" s="250" t="s">
        <v>15</v>
      </c>
      <c r="S2" s="250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227</v>
      </c>
      <c r="D3" s="191" t="s">
        <v>228</v>
      </c>
      <c r="E3" s="193" t="s">
        <v>18</v>
      </c>
      <c r="F3" s="193" t="s">
        <v>229</v>
      </c>
      <c r="G3" s="191" t="s">
        <v>230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233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234</v>
      </c>
      <c r="O4" s="200"/>
      <c r="P4" s="200"/>
      <c r="Q4" s="256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257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235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236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237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238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239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240</v>
      </c>
      <c r="G8" s="193" t="s">
        <v>64</v>
      </c>
      <c r="H8" s="191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243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242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262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Q10" s="138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C15" s="138"/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277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K17" s="138"/>
      <c r="L17" s="200"/>
      <c r="M17" s="183"/>
      <c r="N17" s="256" t="s">
        <v>325</v>
      </c>
      <c r="O17" s="191" t="s">
        <v>247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249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248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F21" s="138"/>
      <c r="G21" s="181" t="s">
        <v>136</v>
      </c>
      <c r="H21" s="193"/>
      <c r="I21" s="200"/>
      <c r="J21" s="200"/>
      <c r="K21" s="200"/>
      <c r="L21" s="191" t="s">
        <v>250</v>
      </c>
      <c r="M21" s="200"/>
      <c r="N21" s="138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L26" s="138"/>
      <c r="M26" s="200"/>
      <c r="N26" s="192"/>
      <c r="O26" s="200"/>
      <c r="P26" s="200"/>
      <c r="Q26" s="191" t="s">
        <v>245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Q28" s="138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146">
        <v>4</v>
      </c>
      <c r="B37" s="161" t="s">
        <v>173</v>
      </c>
      <c r="C37" s="159" t="s">
        <v>174</v>
      </c>
      <c r="D37" s="148"/>
      <c r="E37" s="179"/>
      <c r="F37" s="172"/>
      <c r="G37" s="160"/>
      <c r="H37" s="148"/>
      <c r="I37" s="148"/>
      <c r="J37" s="156"/>
      <c r="K37" s="148"/>
      <c r="L37" s="193" t="s">
        <v>175</v>
      </c>
      <c r="M37" s="148"/>
      <c r="N37" s="156"/>
      <c r="O37" s="148"/>
      <c r="P37" s="148"/>
      <c r="Q37" s="171"/>
      <c r="R37" s="150"/>
      <c r="S37" s="190"/>
      <c r="T37" s="144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267" t="s">
        <v>176</v>
      </c>
      <c r="M41" s="267"/>
      <c r="N41" s="267"/>
      <c r="O41" s="267"/>
      <c r="P41" s="267"/>
      <c r="Q41" s="268"/>
      <c r="R41" s="138"/>
      <c r="S41" s="138"/>
      <c r="T41" s="138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K47" s="138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K48" s="138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269" t="s">
        <v>196</v>
      </c>
      <c r="B49" s="270" t="s">
        <v>197</v>
      </c>
      <c r="C49" s="270"/>
      <c r="D49" s="270"/>
      <c r="E49" s="270"/>
      <c r="F49" s="271"/>
      <c r="G49" s="271"/>
      <c r="H49" s="271"/>
      <c r="I49" s="271"/>
      <c r="J49" s="242"/>
      <c r="K49" s="138"/>
      <c r="L49" s="141" t="s">
        <v>194</v>
      </c>
      <c r="M49" s="141"/>
      <c r="N49" s="141">
        <v>30</v>
      </c>
      <c r="O49" s="141">
        <v>30</v>
      </c>
      <c r="P49" s="151">
        <v>1</v>
      </c>
      <c r="Q49" s="212" t="s">
        <v>195</v>
      </c>
      <c r="R49" s="211"/>
      <c r="S49" s="245"/>
    </row>
    <row r="50" spans="1:19" ht="13.8" x14ac:dyDescent="0.3">
      <c r="A50" s="269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K50" s="138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K51" s="13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162</v>
      </c>
      <c r="D52" s="158">
        <v>170</v>
      </c>
      <c r="E52" s="176">
        <v>130</v>
      </c>
      <c r="F52" s="146">
        <v>40</v>
      </c>
      <c r="G52" s="158">
        <v>170</v>
      </c>
      <c r="H52" s="173">
        <v>9</v>
      </c>
      <c r="I52" s="175">
        <v>0</v>
      </c>
      <c r="J52" s="200" t="s">
        <v>202</v>
      </c>
      <c r="K52" s="138"/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K53" s="138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K54" s="138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K55" s="138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K56" s="138"/>
      <c r="L56" s="203"/>
      <c r="M56" s="193"/>
      <c r="N56" s="180"/>
      <c r="O56" s="200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1</v>
      </c>
      <c r="H57" s="173">
        <v>0</v>
      </c>
      <c r="I57" s="175">
        <v>0</v>
      </c>
      <c r="J57" s="190"/>
      <c r="K57" s="138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K58" s="138"/>
      <c r="L58" s="138"/>
      <c r="M58" s="138"/>
      <c r="N58" s="138"/>
      <c r="O58" s="138"/>
      <c r="P58" s="138"/>
      <c r="Q58" s="138"/>
      <c r="R58" s="138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  <c r="K59" s="138"/>
      <c r="L59" s="138"/>
      <c r="M59" s="138"/>
      <c r="N59" s="138"/>
      <c r="O59" s="138"/>
      <c r="P59" s="138"/>
      <c r="Q59" s="138"/>
      <c r="R59" s="138"/>
      <c r="S59" s="138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  <c r="K60" s="138"/>
      <c r="L60" s="138"/>
      <c r="M60" s="138"/>
      <c r="N60" s="138"/>
      <c r="O60" s="138"/>
      <c r="P60" s="138"/>
      <c r="Q60" s="138"/>
      <c r="R60" s="138"/>
      <c r="S60" s="138"/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  <c r="K61" s="138"/>
      <c r="L61" s="138"/>
      <c r="M61" s="138"/>
      <c r="N61" s="138"/>
      <c r="O61" s="138"/>
      <c r="P61" s="138"/>
      <c r="Q61" s="138"/>
      <c r="R61" s="138"/>
      <c r="S61" s="138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v>200</v>
      </c>
      <c r="H62" s="173">
        <v>8</v>
      </c>
      <c r="I62" s="175">
        <v>-1</v>
      </c>
      <c r="J62" s="203"/>
      <c r="K62" s="138"/>
      <c r="L62" s="138"/>
      <c r="M62" s="138"/>
      <c r="N62" s="138"/>
      <c r="O62" s="138"/>
      <c r="P62" s="138"/>
      <c r="Q62" s="138"/>
      <c r="R62" s="138"/>
      <c r="S62" s="138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F90C2-50A5-4D46-8FFA-36A9CB196FEB}">
  <dimension ref="A1:T62"/>
  <sheetViews>
    <sheetView zoomScale="85" zoomScaleNormal="85" workbookViewId="0">
      <selection activeCell="J24" sqref="J24"/>
    </sheetView>
  </sheetViews>
  <sheetFormatPr defaultRowHeight="13.2" x14ac:dyDescent="0.25"/>
  <cols>
    <col min="1" max="1" width="5.44140625" style="138" customWidth="1"/>
    <col min="2" max="2" width="17.5546875" style="138" customWidth="1"/>
    <col min="3" max="3" width="17.21875" style="138" customWidth="1"/>
    <col min="4" max="4" width="16.5546875" style="138" customWidth="1"/>
    <col min="5" max="5" width="16.77734375" style="138" customWidth="1"/>
    <col min="6" max="6" width="16.332031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57" t="s">
        <v>1</v>
      </c>
      <c r="C2" s="257" t="s">
        <v>2</v>
      </c>
      <c r="D2" s="265" t="s">
        <v>3</v>
      </c>
      <c r="E2" s="265"/>
      <c r="F2" s="257" t="s">
        <v>4</v>
      </c>
      <c r="G2" s="257" t="s">
        <v>5</v>
      </c>
      <c r="H2" s="258" t="s">
        <v>6</v>
      </c>
      <c r="I2" s="257" t="s">
        <v>7</v>
      </c>
      <c r="J2" s="257" t="s">
        <v>8</v>
      </c>
      <c r="K2" s="258" t="s">
        <v>9</v>
      </c>
      <c r="L2" s="258" t="s">
        <v>10</v>
      </c>
      <c r="M2" s="258" t="s">
        <v>11</v>
      </c>
      <c r="N2" s="266" t="s">
        <v>12</v>
      </c>
      <c r="O2" s="266"/>
      <c r="P2" s="257" t="s">
        <v>13</v>
      </c>
      <c r="Q2" s="257" t="s">
        <v>14</v>
      </c>
      <c r="R2" s="257" t="s">
        <v>15</v>
      </c>
      <c r="S2" s="257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227</v>
      </c>
      <c r="D3" s="191" t="s">
        <v>228</v>
      </c>
      <c r="E3" s="193" t="s">
        <v>18</v>
      </c>
      <c r="F3" s="193" t="s">
        <v>229</v>
      </c>
      <c r="G3" s="191" t="s">
        <v>230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233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234</v>
      </c>
      <c r="O4" s="200"/>
      <c r="P4" s="200"/>
      <c r="Q4" s="256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257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235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236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237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238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239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240</v>
      </c>
      <c r="G8" s="193" t="s">
        <v>64</v>
      </c>
      <c r="H8" s="191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243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242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262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277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L17" s="200"/>
      <c r="M17" s="183"/>
      <c r="N17" s="256" t="s">
        <v>325</v>
      </c>
      <c r="O17" s="191" t="s">
        <v>247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249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248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00"/>
      <c r="J21" s="200"/>
      <c r="K21" s="200"/>
      <c r="L21" s="191" t="s">
        <v>250</v>
      </c>
      <c r="M21" s="200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M26" s="200"/>
      <c r="N26" s="192"/>
      <c r="O26" s="200"/>
      <c r="P26" s="200"/>
      <c r="Q26" s="191" t="s">
        <v>245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146">
        <v>4</v>
      </c>
      <c r="B37" s="161" t="s">
        <v>173</v>
      </c>
      <c r="C37" s="159" t="s">
        <v>174</v>
      </c>
      <c r="D37" s="148"/>
      <c r="E37" s="179"/>
      <c r="F37" s="172"/>
      <c r="G37" s="160"/>
      <c r="H37" s="148"/>
      <c r="I37" s="148"/>
      <c r="J37" s="156"/>
      <c r="K37" s="148"/>
      <c r="L37" s="193" t="s">
        <v>175</v>
      </c>
      <c r="M37" s="148"/>
      <c r="N37" s="156"/>
      <c r="O37" s="148"/>
      <c r="P37" s="148"/>
      <c r="Q37" s="171"/>
      <c r="R37" s="150"/>
      <c r="S37" s="190"/>
      <c r="T37" s="144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267" t="s">
        <v>176</v>
      </c>
      <c r="M41" s="267"/>
      <c r="N41" s="267"/>
      <c r="O41" s="267"/>
      <c r="P41" s="267"/>
      <c r="Q41" s="268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269" t="s">
        <v>196</v>
      </c>
      <c r="B49" s="270" t="s">
        <v>197</v>
      </c>
      <c r="C49" s="270"/>
      <c r="D49" s="270"/>
      <c r="E49" s="270"/>
      <c r="F49" s="271"/>
      <c r="G49" s="271"/>
      <c r="H49" s="271"/>
      <c r="I49" s="271"/>
      <c r="J49" s="242"/>
      <c r="L49" s="141" t="s">
        <v>194</v>
      </c>
      <c r="M49" s="141"/>
      <c r="N49" s="141">
        <v>30</v>
      </c>
      <c r="O49" s="141">
        <v>30</v>
      </c>
      <c r="P49" s="151">
        <v>1</v>
      </c>
      <c r="Q49" s="212" t="s">
        <v>195</v>
      </c>
      <c r="R49" s="211"/>
      <c r="S49" s="245"/>
    </row>
    <row r="50" spans="1:19" ht="13.8" x14ac:dyDescent="0.3">
      <c r="A50" s="269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162</v>
      </c>
      <c r="D52" s="158">
        <v>170</v>
      </c>
      <c r="E52" s="176">
        <v>130</v>
      </c>
      <c r="F52" s="146">
        <v>40</v>
      </c>
      <c r="G52" s="158">
        <v>170</v>
      </c>
      <c r="H52" s="173">
        <v>9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180"/>
      <c r="O56" s="200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1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v>200</v>
      </c>
      <c r="H62" s="173">
        <v>8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6DCC6-0884-49C2-9AC3-722C8A1E0583}">
  <dimension ref="A1:T62"/>
  <sheetViews>
    <sheetView zoomScale="85" zoomScaleNormal="85" workbookViewId="0">
      <selection sqref="A1:XFD1048576"/>
    </sheetView>
  </sheetViews>
  <sheetFormatPr defaultRowHeight="13.2" x14ac:dyDescent="0.25"/>
  <cols>
    <col min="1" max="1" width="5.44140625" style="138" customWidth="1"/>
    <col min="2" max="2" width="17.5546875" style="138" customWidth="1"/>
    <col min="3" max="3" width="17.21875" style="138" customWidth="1"/>
    <col min="4" max="4" width="16.5546875" style="138" customWidth="1"/>
    <col min="5" max="5" width="16.77734375" style="138" customWidth="1"/>
    <col min="6" max="6" width="16.332031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59" t="s">
        <v>1</v>
      </c>
      <c r="C2" s="259" t="s">
        <v>2</v>
      </c>
      <c r="D2" s="265" t="s">
        <v>3</v>
      </c>
      <c r="E2" s="265"/>
      <c r="F2" s="259" t="s">
        <v>4</v>
      </c>
      <c r="G2" s="259" t="s">
        <v>5</v>
      </c>
      <c r="H2" s="260" t="s">
        <v>6</v>
      </c>
      <c r="I2" s="259" t="s">
        <v>7</v>
      </c>
      <c r="J2" s="259" t="s">
        <v>8</v>
      </c>
      <c r="K2" s="260" t="s">
        <v>9</v>
      </c>
      <c r="L2" s="260" t="s">
        <v>10</v>
      </c>
      <c r="M2" s="260" t="s">
        <v>11</v>
      </c>
      <c r="N2" s="266" t="s">
        <v>12</v>
      </c>
      <c r="O2" s="266"/>
      <c r="P2" s="259" t="s">
        <v>13</v>
      </c>
      <c r="Q2" s="259" t="s">
        <v>14</v>
      </c>
      <c r="R2" s="259" t="s">
        <v>15</v>
      </c>
      <c r="S2" s="259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227</v>
      </c>
      <c r="D3" s="191" t="s">
        <v>228</v>
      </c>
      <c r="E3" s="193" t="s">
        <v>18</v>
      </c>
      <c r="F3" s="193" t="s">
        <v>229</v>
      </c>
      <c r="G3" s="191" t="s">
        <v>230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233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234</v>
      </c>
      <c r="O4" s="200"/>
      <c r="P4" s="200"/>
      <c r="Q4" s="256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257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235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236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237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238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239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240</v>
      </c>
      <c r="G8" s="193" t="s">
        <v>64</v>
      </c>
      <c r="H8" s="191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243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242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262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277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L17" s="200"/>
      <c r="M17" s="183"/>
      <c r="N17" s="256" t="s">
        <v>325</v>
      </c>
      <c r="O17" s="191" t="s">
        <v>247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249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248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00"/>
      <c r="J21" s="200"/>
      <c r="K21" s="200"/>
      <c r="L21" s="191" t="s">
        <v>250</v>
      </c>
      <c r="M21" s="200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M26" s="200"/>
      <c r="N26" s="192"/>
      <c r="O26" s="200"/>
      <c r="P26" s="200"/>
      <c r="Q26" s="191" t="s">
        <v>245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146">
        <v>4</v>
      </c>
      <c r="B37" s="161" t="s">
        <v>173</v>
      </c>
      <c r="C37" s="159" t="s">
        <v>174</v>
      </c>
      <c r="D37" s="148"/>
      <c r="E37" s="179"/>
      <c r="F37" s="172"/>
      <c r="G37" s="160"/>
      <c r="H37" s="148"/>
      <c r="I37" s="148"/>
      <c r="J37" s="156"/>
      <c r="K37" s="148"/>
      <c r="L37" s="193" t="s">
        <v>175</v>
      </c>
      <c r="M37" s="148"/>
      <c r="N37" s="156"/>
      <c r="O37" s="148"/>
      <c r="P37" s="148"/>
      <c r="Q37" s="171"/>
      <c r="R37" s="150"/>
      <c r="S37" s="190"/>
      <c r="T37" s="144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267" t="s">
        <v>176</v>
      </c>
      <c r="M41" s="267"/>
      <c r="N41" s="267"/>
      <c r="O41" s="267"/>
      <c r="P41" s="267"/>
      <c r="Q41" s="268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269" t="s">
        <v>196</v>
      </c>
      <c r="B49" s="270" t="s">
        <v>197</v>
      </c>
      <c r="C49" s="270"/>
      <c r="D49" s="270"/>
      <c r="E49" s="270"/>
      <c r="F49" s="271"/>
      <c r="G49" s="271"/>
      <c r="H49" s="271"/>
      <c r="I49" s="271"/>
      <c r="J49" s="242"/>
      <c r="L49" s="141" t="s">
        <v>194</v>
      </c>
      <c r="M49" s="141"/>
      <c r="N49" s="141">
        <v>30</v>
      </c>
      <c r="O49" s="141">
        <v>30</v>
      </c>
      <c r="P49" s="151">
        <v>1</v>
      </c>
      <c r="Q49" s="212" t="s">
        <v>195</v>
      </c>
      <c r="R49" s="211"/>
      <c r="S49" s="245"/>
    </row>
    <row r="50" spans="1:19" ht="13.8" x14ac:dyDescent="0.3">
      <c r="A50" s="269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162</v>
      </c>
      <c r="D52" s="158">
        <v>170</v>
      </c>
      <c r="E52" s="176">
        <v>130</v>
      </c>
      <c r="F52" s="146">
        <v>40</v>
      </c>
      <c r="G52" s="158">
        <v>170</v>
      </c>
      <c r="H52" s="173">
        <v>9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180"/>
      <c r="O56" s="200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1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v>200</v>
      </c>
      <c r="H62" s="173">
        <v>8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DF7C-F672-4A22-B8AA-ADA4A4FC29A1}">
  <dimension ref="A1:T62"/>
  <sheetViews>
    <sheetView zoomScale="85" zoomScaleNormal="85" workbookViewId="0">
      <selection sqref="A1:XFD1048576"/>
    </sheetView>
  </sheetViews>
  <sheetFormatPr defaultRowHeight="13.2" x14ac:dyDescent="0.25"/>
  <cols>
    <col min="1" max="1" width="5.44140625" style="138" customWidth="1"/>
    <col min="2" max="2" width="17.5546875" style="138" customWidth="1"/>
    <col min="3" max="3" width="17.21875" style="138" customWidth="1"/>
    <col min="4" max="4" width="16.5546875" style="138" customWidth="1"/>
    <col min="5" max="5" width="16.77734375" style="138" customWidth="1"/>
    <col min="6" max="6" width="16.332031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61" t="s">
        <v>1</v>
      </c>
      <c r="C2" s="261" t="s">
        <v>2</v>
      </c>
      <c r="D2" s="265" t="s">
        <v>3</v>
      </c>
      <c r="E2" s="265"/>
      <c r="F2" s="261" t="s">
        <v>4</v>
      </c>
      <c r="G2" s="261" t="s">
        <v>5</v>
      </c>
      <c r="H2" s="262" t="s">
        <v>6</v>
      </c>
      <c r="I2" s="261" t="s">
        <v>7</v>
      </c>
      <c r="J2" s="261" t="s">
        <v>8</v>
      </c>
      <c r="K2" s="262" t="s">
        <v>9</v>
      </c>
      <c r="L2" s="262" t="s">
        <v>10</v>
      </c>
      <c r="M2" s="262" t="s">
        <v>11</v>
      </c>
      <c r="N2" s="266" t="s">
        <v>12</v>
      </c>
      <c r="O2" s="266"/>
      <c r="P2" s="261" t="s">
        <v>13</v>
      </c>
      <c r="Q2" s="261" t="s">
        <v>14</v>
      </c>
      <c r="R2" s="261" t="s">
        <v>15</v>
      </c>
      <c r="S2" s="261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227</v>
      </c>
      <c r="D3" s="191" t="s">
        <v>228</v>
      </c>
      <c r="E3" s="193" t="s">
        <v>18</v>
      </c>
      <c r="F3" s="193" t="s">
        <v>229</v>
      </c>
      <c r="G3" s="191" t="s">
        <v>230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233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234</v>
      </c>
      <c r="O4" s="200"/>
      <c r="P4" s="200"/>
      <c r="Q4" s="256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257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235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236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237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238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239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240</v>
      </c>
      <c r="G8" s="193" t="s">
        <v>64</v>
      </c>
      <c r="H8" s="191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243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242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262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277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L17" s="200"/>
      <c r="M17" s="183"/>
      <c r="N17" s="256" t="s">
        <v>325</v>
      </c>
      <c r="O17" s="191" t="s">
        <v>247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249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248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00"/>
      <c r="J21" s="200"/>
      <c r="K21" s="200"/>
      <c r="L21" s="191" t="s">
        <v>250</v>
      </c>
      <c r="M21" s="200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M26" s="200"/>
      <c r="N26" s="192"/>
      <c r="O26" s="200"/>
      <c r="P26" s="200"/>
      <c r="Q26" s="191" t="s">
        <v>245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146">
        <v>4</v>
      </c>
      <c r="B37" s="161" t="s">
        <v>173</v>
      </c>
      <c r="C37" s="159" t="s">
        <v>174</v>
      </c>
      <c r="D37" s="148"/>
      <c r="E37" s="179"/>
      <c r="F37" s="172"/>
      <c r="G37" s="160"/>
      <c r="H37" s="148"/>
      <c r="I37" s="148"/>
      <c r="J37" s="156"/>
      <c r="K37" s="148"/>
      <c r="L37" s="193" t="s">
        <v>175</v>
      </c>
      <c r="M37" s="148"/>
      <c r="N37" s="156"/>
      <c r="O37" s="148"/>
      <c r="P37" s="148"/>
      <c r="Q37" s="171"/>
      <c r="R37" s="150"/>
      <c r="S37" s="190"/>
      <c r="T37" s="144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267" t="s">
        <v>176</v>
      </c>
      <c r="M41" s="267"/>
      <c r="N41" s="267"/>
      <c r="O41" s="267"/>
      <c r="P41" s="267"/>
      <c r="Q41" s="268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269" t="s">
        <v>196</v>
      </c>
      <c r="B49" s="270" t="s">
        <v>197</v>
      </c>
      <c r="C49" s="270"/>
      <c r="D49" s="270"/>
      <c r="E49" s="270"/>
      <c r="F49" s="271"/>
      <c r="G49" s="271"/>
      <c r="H49" s="271"/>
      <c r="I49" s="271"/>
      <c r="J49" s="242"/>
      <c r="L49" s="141" t="s">
        <v>194</v>
      </c>
      <c r="M49" s="141"/>
      <c r="N49" s="141">
        <v>30</v>
      </c>
      <c r="O49" s="141">
        <v>30</v>
      </c>
      <c r="P49" s="151">
        <v>1</v>
      </c>
      <c r="Q49" s="212" t="s">
        <v>195</v>
      </c>
      <c r="R49" s="211"/>
      <c r="S49" s="245"/>
    </row>
    <row r="50" spans="1:19" ht="13.8" x14ac:dyDescent="0.3">
      <c r="A50" s="269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162</v>
      </c>
      <c r="D52" s="158">
        <v>170</v>
      </c>
      <c r="E52" s="176">
        <v>130</v>
      </c>
      <c r="F52" s="146">
        <v>40</v>
      </c>
      <c r="G52" s="158">
        <v>170</v>
      </c>
      <c r="H52" s="173">
        <v>8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180"/>
      <c r="O56" s="200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v>200</v>
      </c>
      <c r="H62" s="173">
        <v>8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7B304-39CA-498E-ABCF-A6976A0BA24B}">
  <dimension ref="A1:T62"/>
  <sheetViews>
    <sheetView tabSelected="1" zoomScale="85" zoomScaleNormal="85" workbookViewId="0">
      <selection activeCell="J29" sqref="J29"/>
    </sheetView>
  </sheetViews>
  <sheetFormatPr defaultRowHeight="13.2" x14ac:dyDescent="0.25"/>
  <cols>
    <col min="1" max="1" width="5.44140625" style="138" customWidth="1"/>
    <col min="2" max="2" width="17.5546875" style="138" customWidth="1"/>
    <col min="3" max="3" width="17.21875" style="138" customWidth="1"/>
    <col min="4" max="4" width="16.5546875" style="138" customWidth="1"/>
    <col min="5" max="5" width="16.77734375" style="138" customWidth="1"/>
    <col min="6" max="6" width="16.33203125" style="138" customWidth="1"/>
    <col min="7" max="7" width="16.44140625" style="138" customWidth="1"/>
    <col min="8" max="8" width="18.44140625" style="138" customWidth="1"/>
    <col min="9" max="9" width="16" style="138" customWidth="1"/>
    <col min="10" max="10" width="19.6640625" style="138" customWidth="1"/>
    <col min="11" max="11" width="17" style="138" customWidth="1"/>
    <col min="12" max="12" width="16.44140625" style="138" customWidth="1"/>
    <col min="13" max="13" width="15.5546875" style="138" customWidth="1"/>
    <col min="14" max="14" width="16.6640625" style="138" customWidth="1"/>
    <col min="15" max="15" width="15.109375" style="138" customWidth="1"/>
    <col min="16" max="16" width="15.88671875" style="138" customWidth="1"/>
    <col min="17" max="17" width="18.33203125" style="138" customWidth="1"/>
    <col min="18" max="18" width="16.77734375" style="138" customWidth="1"/>
    <col min="19" max="19" width="15.88671875" style="138" customWidth="1"/>
    <col min="20" max="20" width="17" style="138" customWidth="1"/>
    <col min="21" max="16384" width="8.88671875" style="138"/>
  </cols>
  <sheetData>
    <row r="1" spans="1:20" ht="17.399999999999999" x14ac:dyDescent="0.25">
      <c r="A1" s="155"/>
      <c r="B1" s="147">
        <v>7</v>
      </c>
      <c r="C1" s="147">
        <v>13</v>
      </c>
      <c r="D1" s="147">
        <v>12</v>
      </c>
      <c r="E1" s="147"/>
      <c r="F1" s="147">
        <v>18</v>
      </c>
      <c r="G1" s="147">
        <v>11</v>
      </c>
      <c r="H1" s="147">
        <v>11</v>
      </c>
      <c r="I1" s="147">
        <v>2</v>
      </c>
      <c r="J1" s="147">
        <v>6</v>
      </c>
      <c r="K1" s="147">
        <v>16</v>
      </c>
      <c r="L1" s="147">
        <v>15</v>
      </c>
      <c r="M1" s="147">
        <v>6</v>
      </c>
      <c r="N1" s="147">
        <v>21</v>
      </c>
      <c r="O1" s="147"/>
      <c r="P1" s="147">
        <v>1</v>
      </c>
      <c r="Q1" s="147">
        <v>15</v>
      </c>
      <c r="R1" s="147">
        <v>11</v>
      </c>
      <c r="S1" s="147">
        <v>5</v>
      </c>
      <c r="T1" s="148"/>
    </row>
    <row r="2" spans="1:20" ht="26.4" x14ac:dyDescent="0.25">
      <c r="A2" s="146" t="s">
        <v>0</v>
      </c>
      <c r="B2" s="263" t="s">
        <v>1</v>
      </c>
      <c r="C2" s="263" t="s">
        <v>2</v>
      </c>
      <c r="D2" s="265" t="s">
        <v>3</v>
      </c>
      <c r="E2" s="265"/>
      <c r="F2" s="263" t="s">
        <v>4</v>
      </c>
      <c r="G2" s="263" t="s">
        <v>5</v>
      </c>
      <c r="H2" s="264" t="s">
        <v>6</v>
      </c>
      <c r="I2" s="263" t="s">
        <v>7</v>
      </c>
      <c r="J2" s="263" t="s">
        <v>8</v>
      </c>
      <c r="K2" s="264" t="s">
        <v>9</v>
      </c>
      <c r="L2" s="264" t="s">
        <v>10</v>
      </c>
      <c r="M2" s="264" t="s">
        <v>11</v>
      </c>
      <c r="N2" s="266" t="s">
        <v>12</v>
      </c>
      <c r="O2" s="266"/>
      <c r="P2" s="263" t="s">
        <v>13</v>
      </c>
      <c r="Q2" s="263" t="s">
        <v>14</v>
      </c>
      <c r="R2" s="263" t="s">
        <v>15</v>
      </c>
      <c r="S2" s="263" t="s">
        <v>16</v>
      </c>
      <c r="T2" s="149" t="s">
        <v>17</v>
      </c>
    </row>
    <row r="3" spans="1:20" x14ac:dyDescent="0.25">
      <c r="A3" s="146">
        <v>1</v>
      </c>
      <c r="B3" s="192" t="s">
        <v>226</v>
      </c>
      <c r="C3" s="191" t="s">
        <v>227</v>
      </c>
      <c r="D3" s="191" t="s">
        <v>228</v>
      </c>
      <c r="E3" s="193" t="s">
        <v>18</v>
      </c>
      <c r="F3" s="193" t="s">
        <v>229</v>
      </c>
      <c r="G3" s="191" t="s">
        <v>230</v>
      </c>
      <c r="H3" s="192" t="s">
        <v>19</v>
      </c>
      <c r="I3" s="200"/>
      <c r="J3" s="192" t="s">
        <v>20</v>
      </c>
      <c r="K3" s="191" t="s">
        <v>21</v>
      </c>
      <c r="L3" s="193" t="s">
        <v>22</v>
      </c>
      <c r="M3" s="193" t="s">
        <v>23</v>
      </c>
      <c r="N3" s="191" t="s">
        <v>24</v>
      </c>
      <c r="O3" s="200"/>
      <c r="P3" s="192" t="s">
        <v>25</v>
      </c>
      <c r="Q3" s="193" t="s">
        <v>286</v>
      </c>
      <c r="R3" s="191" t="s">
        <v>231</v>
      </c>
      <c r="S3" s="192" t="s">
        <v>221</v>
      </c>
      <c r="T3" s="200"/>
    </row>
    <row r="4" spans="1:20" x14ac:dyDescent="0.25">
      <c r="A4" s="146">
        <v>2</v>
      </c>
      <c r="B4" s="192" t="s">
        <v>26</v>
      </c>
      <c r="C4" s="191" t="s">
        <v>27</v>
      </c>
      <c r="D4" s="191" t="s">
        <v>232</v>
      </c>
      <c r="E4" s="193" t="s">
        <v>251</v>
      </c>
      <c r="F4" s="191" t="s">
        <v>233</v>
      </c>
      <c r="G4" s="192" t="s">
        <v>28</v>
      </c>
      <c r="H4" s="192" t="s">
        <v>287</v>
      </c>
      <c r="I4" s="200"/>
      <c r="J4" s="139">
        <v>1</v>
      </c>
      <c r="K4" s="191" t="s">
        <v>29</v>
      </c>
      <c r="L4" s="192" t="s">
        <v>30</v>
      </c>
      <c r="M4" s="192" t="s">
        <v>68</v>
      </c>
      <c r="N4" s="191" t="s">
        <v>234</v>
      </c>
      <c r="O4" s="200"/>
      <c r="P4" s="200"/>
      <c r="Q4" s="256" t="s">
        <v>258</v>
      </c>
      <c r="R4" s="193" t="s">
        <v>32</v>
      </c>
      <c r="S4" s="178" t="s">
        <v>33</v>
      </c>
      <c r="T4" s="188"/>
    </row>
    <row r="5" spans="1:20" x14ac:dyDescent="0.25">
      <c r="A5" s="146">
        <v>3</v>
      </c>
      <c r="B5" s="192" t="s">
        <v>34</v>
      </c>
      <c r="C5" s="191" t="s">
        <v>252</v>
      </c>
      <c r="D5" s="247" t="s">
        <v>259</v>
      </c>
      <c r="E5" s="193" t="s">
        <v>35</v>
      </c>
      <c r="F5" s="191" t="s">
        <v>257</v>
      </c>
      <c r="G5" s="192" t="s">
        <v>36</v>
      </c>
      <c r="H5" s="139">
        <v>1</v>
      </c>
      <c r="I5" s="200"/>
      <c r="J5" s="200"/>
      <c r="K5" s="192" t="s">
        <v>37</v>
      </c>
      <c r="L5" s="192" t="s">
        <v>38</v>
      </c>
      <c r="M5" s="193" t="s">
        <v>31</v>
      </c>
      <c r="N5" s="191" t="s">
        <v>235</v>
      </c>
      <c r="O5" s="200"/>
      <c r="P5" s="200"/>
      <c r="Q5" s="192" t="s">
        <v>40</v>
      </c>
      <c r="R5" s="193" t="s">
        <v>41</v>
      </c>
      <c r="S5" s="194"/>
      <c r="T5" s="200"/>
    </row>
    <row r="6" spans="1:20" x14ac:dyDescent="0.25">
      <c r="A6" s="146">
        <v>4</v>
      </c>
      <c r="B6" s="192" t="s">
        <v>51</v>
      </c>
      <c r="C6" s="192" t="s">
        <v>130</v>
      </c>
      <c r="D6" s="193" t="s">
        <v>44</v>
      </c>
      <c r="E6" s="200"/>
      <c r="F6" s="191" t="s">
        <v>236</v>
      </c>
      <c r="G6" s="193" t="s">
        <v>45</v>
      </c>
      <c r="H6" s="196"/>
      <c r="I6" s="200"/>
      <c r="J6" s="200"/>
      <c r="K6" s="192" t="s">
        <v>46</v>
      </c>
      <c r="L6" s="193" t="s">
        <v>47</v>
      </c>
      <c r="M6" s="192" t="s">
        <v>39</v>
      </c>
      <c r="N6" s="191" t="s">
        <v>237</v>
      </c>
      <c r="O6" s="200"/>
      <c r="P6" s="200"/>
      <c r="Q6" s="193" t="s">
        <v>49</v>
      </c>
      <c r="R6" s="193" t="s">
        <v>50</v>
      </c>
      <c r="S6" s="200"/>
      <c r="T6" s="200"/>
    </row>
    <row r="7" spans="1:20" x14ac:dyDescent="0.25">
      <c r="A7" s="146">
        <v>5</v>
      </c>
      <c r="B7" s="192" t="s">
        <v>42</v>
      </c>
      <c r="C7" s="192" t="s">
        <v>52</v>
      </c>
      <c r="D7" s="191" t="s">
        <v>238</v>
      </c>
      <c r="E7" s="200"/>
      <c r="F7" s="247" t="s">
        <v>260</v>
      </c>
      <c r="G7" s="193" t="s">
        <v>53</v>
      </c>
      <c r="H7" s="154" t="s">
        <v>54</v>
      </c>
      <c r="I7" s="154" t="s">
        <v>55</v>
      </c>
      <c r="J7" s="154" t="s">
        <v>56</v>
      </c>
      <c r="K7" s="193" t="s">
        <v>57</v>
      </c>
      <c r="L7" s="193" t="s">
        <v>58</v>
      </c>
      <c r="M7" s="193" t="s">
        <v>48</v>
      </c>
      <c r="N7" s="191" t="s">
        <v>239</v>
      </c>
      <c r="O7" s="200"/>
      <c r="P7" s="139">
        <v>1</v>
      </c>
      <c r="Q7" s="192" t="s">
        <v>60</v>
      </c>
      <c r="R7" s="247" t="s">
        <v>261</v>
      </c>
      <c r="S7" s="193" t="s">
        <v>253</v>
      </c>
      <c r="T7" s="200"/>
    </row>
    <row r="8" spans="1:20" ht="14.4" x14ac:dyDescent="0.3">
      <c r="A8" s="146">
        <v>6</v>
      </c>
      <c r="B8" s="200"/>
      <c r="C8" s="193" t="s">
        <v>62</v>
      </c>
      <c r="D8" s="192" t="s">
        <v>63</v>
      </c>
      <c r="E8" s="200"/>
      <c r="F8" s="191" t="s">
        <v>240</v>
      </c>
      <c r="G8" s="193" t="s">
        <v>64</v>
      </c>
      <c r="H8" s="191" t="s">
        <v>241</v>
      </c>
      <c r="I8" s="192" t="s">
        <v>65</v>
      </c>
      <c r="J8" s="192" t="s">
        <v>219</v>
      </c>
      <c r="K8" s="192" t="s">
        <v>66</v>
      </c>
      <c r="L8" s="193" t="s">
        <v>67</v>
      </c>
      <c r="M8" s="193" t="s">
        <v>59</v>
      </c>
      <c r="N8" s="191" t="s">
        <v>243</v>
      </c>
      <c r="O8" s="200"/>
      <c r="P8" s="200"/>
      <c r="Q8" s="192" t="s">
        <v>254</v>
      </c>
      <c r="R8" s="193" t="s">
        <v>61</v>
      </c>
      <c r="S8" s="179"/>
      <c r="T8" s="200" t="s">
        <v>70</v>
      </c>
    </row>
    <row r="9" spans="1:20" x14ac:dyDescent="0.25">
      <c r="A9" s="146">
        <v>7</v>
      </c>
      <c r="B9" s="200"/>
      <c r="C9" s="191" t="s">
        <v>242</v>
      </c>
      <c r="D9" s="192" t="s">
        <v>71</v>
      </c>
      <c r="E9" s="193"/>
      <c r="F9" s="247" t="s">
        <v>264</v>
      </c>
      <c r="G9" s="193" t="s">
        <v>255</v>
      </c>
      <c r="H9" s="192" t="s">
        <v>72</v>
      </c>
      <c r="I9" s="192" t="s">
        <v>73</v>
      </c>
      <c r="J9" s="192" t="s">
        <v>74</v>
      </c>
      <c r="K9" s="193" t="s">
        <v>75</v>
      </c>
      <c r="L9" s="192" t="s">
        <v>76</v>
      </c>
      <c r="M9" s="200"/>
      <c r="N9" s="178" t="s">
        <v>83</v>
      </c>
      <c r="O9" s="200"/>
      <c r="P9" s="200"/>
      <c r="Q9" s="191" t="s">
        <v>262</v>
      </c>
      <c r="R9" s="193" t="s">
        <v>69</v>
      </c>
      <c r="S9" s="200"/>
      <c r="T9" s="200"/>
    </row>
    <row r="10" spans="1:20" x14ac:dyDescent="0.25">
      <c r="A10" s="146">
        <v>8</v>
      </c>
      <c r="B10" s="200"/>
      <c r="C10" s="247" t="s">
        <v>263</v>
      </c>
      <c r="D10" s="192" t="s">
        <v>105</v>
      </c>
      <c r="E10" s="193"/>
      <c r="F10" s="193" t="s">
        <v>86</v>
      </c>
      <c r="G10" s="193" t="s">
        <v>79</v>
      </c>
      <c r="H10" s="192" t="s">
        <v>80</v>
      </c>
      <c r="I10" s="200"/>
      <c r="J10" s="191" t="s">
        <v>290</v>
      </c>
      <c r="K10" s="192" t="s">
        <v>81</v>
      </c>
      <c r="L10" s="193" t="s">
        <v>82</v>
      </c>
      <c r="M10" s="200"/>
      <c r="N10" s="193" t="s">
        <v>92</v>
      </c>
      <c r="O10" s="200"/>
      <c r="P10" s="200"/>
      <c r="R10" s="200"/>
      <c r="S10" s="154" t="s">
        <v>84</v>
      </c>
      <c r="T10" s="200"/>
    </row>
    <row r="11" spans="1:20" x14ac:dyDescent="0.25">
      <c r="A11" s="146">
        <v>9</v>
      </c>
      <c r="B11" s="200"/>
      <c r="C11" s="247" t="s">
        <v>265</v>
      </c>
      <c r="D11" s="193" t="s">
        <v>77</v>
      </c>
      <c r="E11" s="200"/>
      <c r="F11" s="247" t="s">
        <v>267</v>
      </c>
      <c r="G11" s="193" t="s">
        <v>87</v>
      </c>
      <c r="H11" s="192" t="s">
        <v>88</v>
      </c>
      <c r="I11" s="139"/>
      <c r="J11" s="193" t="s">
        <v>324</v>
      </c>
      <c r="K11" s="193" t="s">
        <v>113</v>
      </c>
      <c r="L11" s="200"/>
      <c r="M11" s="200"/>
      <c r="N11" s="193" t="s">
        <v>99</v>
      </c>
      <c r="O11" s="200"/>
      <c r="P11" s="200"/>
      <c r="Q11" s="139" t="s">
        <v>93</v>
      </c>
      <c r="R11" s="200"/>
      <c r="S11" s="193" t="s">
        <v>94</v>
      </c>
      <c r="T11" s="200"/>
    </row>
    <row r="12" spans="1:20" x14ac:dyDescent="0.25">
      <c r="A12" s="146">
        <v>10</v>
      </c>
      <c r="B12" s="139"/>
      <c r="C12" s="247" t="s">
        <v>266</v>
      </c>
      <c r="D12" s="192" t="s">
        <v>85</v>
      </c>
      <c r="E12" s="193"/>
      <c r="F12" s="193" t="s">
        <v>101</v>
      </c>
      <c r="G12" s="192" t="s">
        <v>95</v>
      </c>
      <c r="H12" s="192" t="s">
        <v>96</v>
      </c>
      <c r="I12" s="139">
        <v>2</v>
      </c>
      <c r="J12" s="252" t="s">
        <v>268</v>
      </c>
      <c r="K12" s="193" t="s">
        <v>90</v>
      </c>
      <c r="L12" s="200"/>
      <c r="M12" s="192"/>
      <c r="N12" s="247" t="s">
        <v>272</v>
      </c>
      <c r="O12" s="200"/>
      <c r="P12" s="200"/>
      <c r="Q12" s="139"/>
      <c r="R12" s="139"/>
      <c r="S12" s="200"/>
      <c r="T12" s="200"/>
    </row>
    <row r="13" spans="1:20" x14ac:dyDescent="0.25">
      <c r="A13" s="146">
        <v>11</v>
      </c>
      <c r="B13" s="139">
        <v>5</v>
      </c>
      <c r="C13" s="200"/>
      <c r="D13" s="247" t="s">
        <v>269</v>
      </c>
      <c r="E13" s="193"/>
      <c r="F13" s="192" t="s">
        <v>106</v>
      </c>
      <c r="G13" s="247" t="s">
        <v>270</v>
      </c>
      <c r="H13" s="247" t="s">
        <v>271</v>
      </c>
      <c r="I13" s="200"/>
      <c r="J13" s="200"/>
      <c r="K13" s="193" t="s">
        <v>97</v>
      </c>
      <c r="L13" s="192" t="s">
        <v>91</v>
      </c>
      <c r="M13" s="139"/>
      <c r="N13" s="247" t="s">
        <v>274</v>
      </c>
      <c r="O13" s="200"/>
      <c r="P13" s="200"/>
      <c r="Q13" s="139"/>
      <c r="R13" s="139"/>
      <c r="S13" s="139">
        <v>1</v>
      </c>
      <c r="T13" s="200"/>
    </row>
    <row r="14" spans="1:20" x14ac:dyDescent="0.25">
      <c r="A14" s="146">
        <v>12</v>
      </c>
      <c r="B14" s="181" t="s">
        <v>100</v>
      </c>
      <c r="C14" s="200"/>
      <c r="D14" s="247" t="s">
        <v>273</v>
      </c>
      <c r="E14" s="193"/>
      <c r="F14" s="192" t="s">
        <v>112</v>
      </c>
      <c r="G14" s="200"/>
      <c r="H14" s="192" t="s">
        <v>107</v>
      </c>
      <c r="I14" s="200"/>
      <c r="J14" s="139"/>
      <c r="K14" s="193" t="s">
        <v>102</v>
      </c>
      <c r="L14" s="192" t="s">
        <v>98</v>
      </c>
      <c r="M14" s="194"/>
      <c r="N14" s="192" t="s">
        <v>246</v>
      </c>
      <c r="O14" s="181" t="s">
        <v>110</v>
      </c>
      <c r="P14" s="200"/>
      <c r="Q14" s="139" t="s">
        <v>111</v>
      </c>
      <c r="R14" s="216" t="s">
        <v>114</v>
      </c>
      <c r="S14" s="200"/>
      <c r="T14" s="200"/>
    </row>
    <row r="15" spans="1:20" x14ac:dyDescent="0.25">
      <c r="A15" s="146">
        <v>13</v>
      </c>
      <c r="B15" s="177" t="s">
        <v>104</v>
      </c>
      <c r="D15" s="200"/>
      <c r="E15" s="193"/>
      <c r="F15" s="247" t="s">
        <v>275</v>
      </c>
      <c r="G15" s="200"/>
      <c r="H15" s="200"/>
      <c r="I15" s="200"/>
      <c r="J15" s="139"/>
      <c r="K15" s="193" t="s">
        <v>108</v>
      </c>
      <c r="L15" s="177" t="s">
        <v>103</v>
      </c>
      <c r="M15" s="200"/>
      <c r="N15" s="247" t="s">
        <v>276</v>
      </c>
      <c r="O15" s="193" t="s">
        <v>115</v>
      </c>
      <c r="P15" s="200"/>
      <c r="Q15" s="200"/>
      <c r="R15" s="154" t="s">
        <v>116</v>
      </c>
      <c r="S15" s="181" t="s">
        <v>117</v>
      </c>
      <c r="T15" s="200"/>
    </row>
    <row r="16" spans="1:20" x14ac:dyDescent="0.25">
      <c r="A16" s="146">
        <v>14</v>
      </c>
      <c r="B16" s="139"/>
      <c r="C16" s="200"/>
      <c r="D16" s="193"/>
      <c r="E16" s="193"/>
      <c r="F16" s="191" t="s">
        <v>277</v>
      </c>
      <c r="G16" s="200"/>
      <c r="H16" s="139"/>
      <c r="I16" s="193"/>
      <c r="J16" s="216" t="s">
        <v>222</v>
      </c>
      <c r="K16" s="191" t="s">
        <v>244</v>
      </c>
      <c r="L16" s="177" t="s">
        <v>109</v>
      </c>
      <c r="M16" s="139">
        <v>6</v>
      </c>
      <c r="N16" s="248" t="s">
        <v>278</v>
      </c>
      <c r="O16" s="192" t="s">
        <v>118</v>
      </c>
      <c r="P16" s="200"/>
      <c r="Q16" s="182"/>
      <c r="R16" s="192" t="s">
        <v>119</v>
      </c>
      <c r="S16" s="200"/>
      <c r="T16" s="200"/>
    </row>
    <row r="17" spans="1:20" x14ac:dyDescent="0.25">
      <c r="A17" s="146">
        <v>15</v>
      </c>
      <c r="B17" s="139">
        <v>1</v>
      </c>
      <c r="C17" s="200"/>
      <c r="D17" s="193"/>
      <c r="E17" s="193"/>
      <c r="F17" s="247" t="s">
        <v>279</v>
      </c>
      <c r="G17" s="200"/>
      <c r="H17" s="139" t="s">
        <v>114</v>
      </c>
      <c r="I17" s="200"/>
      <c r="J17" s="200"/>
      <c r="L17" s="200"/>
      <c r="M17" s="183"/>
      <c r="N17" s="256" t="s">
        <v>325</v>
      </c>
      <c r="O17" s="191" t="s">
        <v>247</v>
      </c>
      <c r="P17" s="200"/>
      <c r="Q17" s="193" t="s">
        <v>122</v>
      </c>
      <c r="R17" s="193" t="s">
        <v>123</v>
      </c>
      <c r="S17" s="200"/>
      <c r="T17" s="200"/>
    </row>
    <row r="18" spans="1:20" ht="14.4" x14ac:dyDescent="0.3">
      <c r="A18" s="146">
        <v>16</v>
      </c>
      <c r="B18" s="192" t="s">
        <v>120</v>
      </c>
      <c r="C18" s="193"/>
      <c r="D18" s="193"/>
      <c r="E18" s="193"/>
      <c r="F18" s="192" t="s">
        <v>43</v>
      </c>
      <c r="G18" s="179"/>
      <c r="H18" s="154" t="s">
        <v>125</v>
      </c>
      <c r="I18" s="154" t="s">
        <v>121</v>
      </c>
      <c r="J18" s="200"/>
      <c r="K18" s="200"/>
      <c r="L18" s="200"/>
      <c r="M18" s="183"/>
      <c r="N18" s="247" t="s">
        <v>281</v>
      </c>
      <c r="O18" s="247" t="s">
        <v>314</v>
      </c>
      <c r="P18" s="200"/>
      <c r="Q18" s="193" t="s">
        <v>127</v>
      </c>
      <c r="R18" s="193" t="s">
        <v>128</v>
      </c>
      <c r="S18" s="200"/>
      <c r="T18" s="200"/>
    </row>
    <row r="19" spans="1:20" x14ac:dyDescent="0.25">
      <c r="A19" s="146">
        <v>17</v>
      </c>
      <c r="B19" s="192" t="s">
        <v>124</v>
      </c>
      <c r="C19" s="193"/>
      <c r="D19" s="193"/>
      <c r="E19" s="193"/>
      <c r="F19" s="192" t="s">
        <v>78</v>
      </c>
      <c r="G19" s="200"/>
      <c r="H19" s="192" t="s">
        <v>131</v>
      </c>
      <c r="I19" s="200"/>
      <c r="J19" s="200"/>
      <c r="K19" s="200"/>
      <c r="L19" s="154" t="s">
        <v>126</v>
      </c>
      <c r="M19" s="200"/>
      <c r="N19" s="191" t="s">
        <v>249</v>
      </c>
      <c r="O19" s="200"/>
      <c r="P19" s="184"/>
      <c r="Q19" s="193" t="s">
        <v>132</v>
      </c>
      <c r="R19" s="200"/>
      <c r="S19" s="192"/>
      <c r="T19" s="200"/>
    </row>
    <row r="20" spans="1:20" x14ac:dyDescent="0.25">
      <c r="A20" s="146">
        <v>18</v>
      </c>
      <c r="B20" s="192" t="s">
        <v>129</v>
      </c>
      <c r="C20" s="193"/>
      <c r="D20" s="193"/>
      <c r="E20" s="200"/>
      <c r="F20" s="247" t="s">
        <v>282</v>
      </c>
      <c r="G20" s="200"/>
      <c r="H20" s="192" t="s">
        <v>134</v>
      </c>
      <c r="I20" s="200"/>
      <c r="J20" s="200"/>
      <c r="K20" s="200"/>
      <c r="L20" s="191" t="s">
        <v>248</v>
      </c>
      <c r="M20" s="200"/>
      <c r="N20" s="255" t="s">
        <v>283</v>
      </c>
      <c r="O20" s="200"/>
      <c r="P20" s="184"/>
      <c r="Q20" s="181" t="s">
        <v>135</v>
      </c>
      <c r="R20" s="200"/>
      <c r="S20" s="200"/>
      <c r="T20" s="195"/>
    </row>
    <row r="21" spans="1:20" ht="14.4" x14ac:dyDescent="0.3">
      <c r="A21" s="146">
        <v>19</v>
      </c>
      <c r="B21" s="192" t="s">
        <v>133</v>
      </c>
      <c r="C21" s="193"/>
      <c r="D21" s="193"/>
      <c r="E21" s="193"/>
      <c r="G21" s="181" t="s">
        <v>136</v>
      </c>
      <c r="H21" s="193"/>
      <c r="I21" s="200"/>
      <c r="J21" s="200"/>
      <c r="K21" s="200"/>
      <c r="L21" s="191" t="s">
        <v>250</v>
      </c>
      <c r="M21" s="200"/>
      <c r="O21" s="200"/>
      <c r="P21" s="184"/>
      <c r="Q21" s="179"/>
      <c r="R21" s="185">
        <v>3</v>
      </c>
      <c r="S21" s="200"/>
      <c r="T21" s="195"/>
    </row>
    <row r="22" spans="1:20" x14ac:dyDescent="0.25">
      <c r="A22" s="146">
        <v>20</v>
      </c>
      <c r="B22" s="200"/>
      <c r="C22" s="193"/>
      <c r="D22" s="192"/>
      <c r="E22" s="193"/>
      <c r="F22" s="192"/>
      <c r="G22" s="200"/>
      <c r="H22" s="200"/>
      <c r="I22" s="200"/>
      <c r="J22" s="246"/>
      <c r="K22" s="200"/>
      <c r="L22" s="247" t="s">
        <v>284</v>
      </c>
      <c r="M22" s="200"/>
      <c r="N22" s="192" t="s">
        <v>138</v>
      </c>
      <c r="O22" s="200"/>
      <c r="P22" s="200"/>
      <c r="Q22" s="154" t="s">
        <v>139</v>
      </c>
      <c r="R22" s="154" t="s">
        <v>140</v>
      </c>
      <c r="S22" s="154" t="s">
        <v>141</v>
      </c>
      <c r="T22" s="195"/>
    </row>
    <row r="23" spans="1:20" x14ac:dyDescent="0.25">
      <c r="A23" s="146">
        <v>21</v>
      </c>
      <c r="B23" s="181" t="s">
        <v>137</v>
      </c>
      <c r="C23" s="193"/>
      <c r="D23" s="192"/>
      <c r="E23" s="193"/>
      <c r="F23" s="193"/>
      <c r="G23" s="200"/>
      <c r="H23" s="139">
        <v>2</v>
      </c>
      <c r="I23" s="200"/>
      <c r="J23" s="200"/>
      <c r="K23" s="200"/>
      <c r="L23" s="247" t="s">
        <v>285</v>
      </c>
      <c r="M23" s="200"/>
      <c r="N23" s="192" t="s">
        <v>144</v>
      </c>
      <c r="O23" s="200"/>
      <c r="P23" s="200"/>
      <c r="Q23" s="191" t="s">
        <v>145</v>
      </c>
      <c r="R23" s="193" t="s">
        <v>146</v>
      </c>
      <c r="S23" s="200"/>
      <c r="T23" s="200"/>
    </row>
    <row r="24" spans="1:20" x14ac:dyDescent="0.25">
      <c r="A24" s="146">
        <v>22</v>
      </c>
      <c r="B24" s="192" t="s">
        <v>142</v>
      </c>
      <c r="C24" s="193"/>
      <c r="D24" s="192"/>
      <c r="E24" s="193"/>
      <c r="F24" s="200"/>
      <c r="G24" s="200"/>
      <c r="H24" s="154" t="s">
        <v>147</v>
      </c>
      <c r="I24" s="200"/>
      <c r="J24" s="200"/>
      <c r="K24" s="193"/>
      <c r="L24" s="193" t="s">
        <v>148</v>
      </c>
      <c r="M24" s="200"/>
      <c r="N24" s="192" t="s">
        <v>220</v>
      </c>
      <c r="O24" s="200"/>
      <c r="P24" s="200"/>
      <c r="Q24" s="191" t="s">
        <v>149</v>
      </c>
      <c r="R24" s="193" t="s">
        <v>256</v>
      </c>
      <c r="S24" s="200"/>
      <c r="T24" s="200"/>
    </row>
    <row r="25" spans="1:20" ht="14.4" x14ac:dyDescent="0.3">
      <c r="A25" s="146">
        <v>23</v>
      </c>
      <c r="B25" s="139">
        <v>1</v>
      </c>
      <c r="C25" s="193"/>
      <c r="D25" s="193"/>
      <c r="E25" s="193"/>
      <c r="F25" s="193" t="s">
        <v>150</v>
      </c>
      <c r="G25" s="200"/>
      <c r="H25" s="192" t="s">
        <v>151</v>
      </c>
      <c r="I25" s="200"/>
      <c r="J25" s="179"/>
      <c r="K25" s="200"/>
      <c r="L25" s="192" t="s">
        <v>143</v>
      </c>
      <c r="M25" s="200"/>
      <c r="N25" s="192" t="s">
        <v>152</v>
      </c>
      <c r="O25" s="200"/>
      <c r="P25" s="200"/>
      <c r="Q25" s="191" t="s">
        <v>153</v>
      </c>
      <c r="R25" s="200"/>
      <c r="S25" s="200"/>
      <c r="T25" s="200"/>
    </row>
    <row r="26" spans="1:20" x14ac:dyDescent="0.25">
      <c r="A26" s="146">
        <v>24</v>
      </c>
      <c r="B26" s="200"/>
      <c r="C26" s="192"/>
      <c r="D26" s="192"/>
      <c r="E26" s="193"/>
      <c r="F26" s="193" t="s">
        <v>154</v>
      </c>
      <c r="G26" s="200"/>
      <c r="H26" s="192"/>
      <c r="I26" s="200"/>
      <c r="J26" s="200"/>
      <c r="K26" s="200"/>
      <c r="M26" s="200"/>
      <c r="N26" s="192"/>
      <c r="O26" s="200"/>
      <c r="P26" s="200"/>
      <c r="Q26" s="191" t="s">
        <v>245</v>
      </c>
      <c r="R26" s="200"/>
      <c r="S26" s="200"/>
      <c r="T26" s="200"/>
    </row>
    <row r="27" spans="1:20" ht="14.4" x14ac:dyDescent="0.3">
      <c r="A27" s="146">
        <v>25</v>
      </c>
      <c r="B27" s="200"/>
      <c r="C27" s="192"/>
      <c r="D27" s="192"/>
      <c r="E27" s="193"/>
      <c r="F27" s="200"/>
      <c r="G27" s="200"/>
      <c r="H27" s="139">
        <v>1</v>
      </c>
      <c r="I27" s="200"/>
      <c r="J27" s="192"/>
      <c r="K27" s="200"/>
      <c r="L27" s="139"/>
      <c r="M27" s="183"/>
      <c r="N27" s="139" t="s">
        <v>155</v>
      </c>
      <c r="O27" s="200"/>
      <c r="P27" s="179"/>
      <c r="Q27" s="193" t="s">
        <v>156</v>
      </c>
      <c r="R27" s="139">
        <v>1</v>
      </c>
      <c r="S27" s="186"/>
      <c r="T27" s="200"/>
    </row>
    <row r="28" spans="1:20" x14ac:dyDescent="0.25">
      <c r="A28" s="146">
        <v>26</v>
      </c>
      <c r="B28" s="139"/>
      <c r="C28" s="200"/>
      <c r="D28" s="192"/>
      <c r="E28" s="200"/>
      <c r="F28" s="200"/>
      <c r="G28" s="200"/>
      <c r="H28" s="200"/>
      <c r="I28" s="200"/>
      <c r="J28" s="200"/>
      <c r="K28" s="200"/>
      <c r="L28" s="185" t="s">
        <v>225</v>
      </c>
      <c r="M28" s="200"/>
      <c r="N28" s="181" t="s">
        <v>110</v>
      </c>
      <c r="O28" s="200"/>
      <c r="P28" s="200"/>
      <c r="R28" s="196"/>
      <c r="S28" s="200"/>
      <c r="T28" s="200"/>
    </row>
    <row r="29" spans="1:20" x14ac:dyDescent="0.25">
      <c r="A29" s="146">
        <v>27</v>
      </c>
      <c r="B29" s="200"/>
      <c r="C29" s="200"/>
      <c r="D29" s="193"/>
      <c r="E29" s="200"/>
      <c r="F29" s="200"/>
      <c r="G29" s="200"/>
      <c r="H29" s="200"/>
      <c r="I29" s="200"/>
      <c r="J29" s="192"/>
      <c r="K29" s="139"/>
      <c r="L29" s="200"/>
      <c r="M29" s="200"/>
      <c r="N29" s="193" t="s">
        <v>158</v>
      </c>
      <c r="O29" s="200"/>
      <c r="P29" s="192"/>
      <c r="Q29" s="139"/>
      <c r="R29" s="200"/>
      <c r="S29" s="200"/>
      <c r="T29" s="200"/>
    </row>
    <row r="30" spans="1:20" x14ac:dyDescent="0.25">
      <c r="A30" s="146">
        <v>28</v>
      </c>
      <c r="B30" s="200"/>
      <c r="C30" s="139"/>
      <c r="D30" s="139"/>
      <c r="E30" s="200"/>
      <c r="F30" s="139"/>
      <c r="G30" s="139"/>
      <c r="H30" s="193"/>
      <c r="I30" s="200"/>
      <c r="J30" s="192"/>
      <c r="K30" s="139"/>
      <c r="L30" s="200"/>
      <c r="M30" s="200"/>
      <c r="N30" s="193" t="s">
        <v>159</v>
      </c>
      <c r="O30" s="200"/>
      <c r="P30" s="200"/>
      <c r="Q30" s="139"/>
      <c r="R30" s="200"/>
      <c r="S30" s="192"/>
      <c r="T30" s="200"/>
    </row>
    <row r="31" spans="1:20" x14ac:dyDescent="0.25">
      <c r="A31" s="146">
        <v>29</v>
      </c>
      <c r="B31" s="200"/>
      <c r="C31" s="139"/>
      <c r="D31" s="139"/>
      <c r="E31" s="200"/>
      <c r="F31" s="139"/>
      <c r="G31" s="139"/>
      <c r="H31" s="200"/>
      <c r="I31" s="200"/>
      <c r="J31" s="192"/>
      <c r="K31" s="200"/>
      <c r="L31" s="193" t="s">
        <v>157</v>
      </c>
      <c r="M31" s="200"/>
      <c r="N31" s="139"/>
      <c r="O31" s="200"/>
      <c r="P31" s="200"/>
      <c r="Q31" s="139" t="s">
        <v>160</v>
      </c>
      <c r="R31" s="200"/>
      <c r="S31" s="200"/>
      <c r="T31" s="200"/>
    </row>
    <row r="32" spans="1:20" x14ac:dyDescent="0.25">
      <c r="A32" s="146">
        <v>30</v>
      </c>
      <c r="B32" s="200"/>
      <c r="C32" s="139" t="s">
        <v>161</v>
      </c>
      <c r="D32" s="139" t="s">
        <v>224</v>
      </c>
      <c r="E32" s="139"/>
      <c r="F32" s="139" t="s">
        <v>162</v>
      </c>
      <c r="G32" s="139" t="s">
        <v>163</v>
      </c>
      <c r="H32" s="200"/>
      <c r="I32" s="200"/>
      <c r="J32" s="192"/>
      <c r="K32" s="217" t="s">
        <v>223</v>
      </c>
      <c r="L32" s="139">
        <v>7</v>
      </c>
      <c r="M32" s="200"/>
      <c r="N32" s="139"/>
      <c r="O32" s="200"/>
      <c r="P32" s="200"/>
      <c r="Q32" s="177"/>
      <c r="R32" s="200"/>
      <c r="S32" s="200"/>
      <c r="T32" s="200"/>
    </row>
    <row r="33" spans="1:20" x14ac:dyDescent="0.25">
      <c r="A33" s="146"/>
      <c r="B33" s="161" t="s">
        <v>164</v>
      </c>
      <c r="C33" s="161" t="s">
        <v>165</v>
      </c>
      <c r="D33" s="162"/>
      <c r="E33" s="161" t="s">
        <v>166</v>
      </c>
      <c r="F33" s="161"/>
      <c r="G33" s="162"/>
      <c r="H33" s="163"/>
      <c r="I33" s="164"/>
      <c r="J33" s="165"/>
      <c r="K33" s="166"/>
      <c r="L33" s="167" t="s">
        <v>167</v>
      </c>
      <c r="M33" s="163"/>
      <c r="N33" s="165"/>
      <c r="O33" s="163"/>
      <c r="P33" s="163"/>
      <c r="Q33" s="168"/>
      <c r="R33" s="163"/>
      <c r="S33" s="169" t="s">
        <v>168</v>
      </c>
      <c r="T33" s="170"/>
    </row>
    <row r="34" spans="1:20" x14ac:dyDescent="0.25">
      <c r="A34" s="146">
        <v>1</v>
      </c>
      <c r="B34" s="200"/>
      <c r="C34" s="193" t="s">
        <v>169</v>
      </c>
      <c r="D34" s="200"/>
      <c r="E34" s="200"/>
      <c r="F34" s="193"/>
      <c r="G34" s="187"/>
      <c r="H34" s="200"/>
      <c r="I34" s="200"/>
      <c r="J34" s="192"/>
      <c r="K34" s="200"/>
      <c r="L34" s="193" t="s">
        <v>170</v>
      </c>
      <c r="M34" s="200"/>
      <c r="N34" s="192"/>
      <c r="O34" s="200"/>
      <c r="P34" s="200"/>
      <c r="Q34" s="197"/>
      <c r="R34" s="200"/>
      <c r="S34" s="193" t="s">
        <v>171</v>
      </c>
      <c r="T34" s="200"/>
    </row>
    <row r="35" spans="1:20" ht="14.4" x14ac:dyDescent="0.3">
      <c r="A35" s="146">
        <v>2</v>
      </c>
      <c r="B35" s="148"/>
      <c r="C35" s="148"/>
      <c r="D35" s="148"/>
      <c r="E35" s="148"/>
      <c r="F35" s="189"/>
      <c r="G35" s="160"/>
      <c r="H35" s="148"/>
      <c r="I35" s="151"/>
      <c r="J35" s="189"/>
      <c r="K35" s="179"/>
      <c r="L35" s="222"/>
      <c r="M35" s="148"/>
      <c r="N35" s="156"/>
      <c r="O35" s="148"/>
      <c r="P35" s="148"/>
      <c r="Q35" s="171"/>
      <c r="R35" s="148"/>
      <c r="S35" s="193" t="s">
        <v>172</v>
      </c>
      <c r="T35" s="144"/>
    </row>
    <row r="36" spans="1:20" x14ac:dyDescent="0.25">
      <c r="A36" s="146">
        <v>3</v>
      </c>
      <c r="B36" s="148"/>
      <c r="C36" s="148"/>
      <c r="D36" s="148"/>
      <c r="E36" s="157"/>
      <c r="F36" s="157"/>
      <c r="G36" s="160"/>
      <c r="H36" s="148"/>
      <c r="I36" s="151"/>
      <c r="J36" s="156"/>
      <c r="K36" s="142"/>
      <c r="L36" s="148">
        <v>9</v>
      </c>
      <c r="M36" s="148"/>
      <c r="N36" s="156"/>
      <c r="O36" s="148"/>
      <c r="P36" s="148"/>
      <c r="Q36" s="171"/>
      <c r="R36" s="148"/>
      <c r="S36" s="200"/>
      <c r="T36" s="144"/>
    </row>
    <row r="37" spans="1:20" ht="14.4" x14ac:dyDescent="0.3">
      <c r="A37" s="146">
        <v>4</v>
      </c>
      <c r="B37" s="161" t="s">
        <v>173</v>
      </c>
      <c r="C37" s="159" t="s">
        <v>174</v>
      </c>
      <c r="D37" s="148"/>
      <c r="E37" s="179"/>
      <c r="F37" s="172"/>
      <c r="G37" s="160"/>
      <c r="H37" s="148"/>
      <c r="I37" s="148"/>
      <c r="J37" s="156"/>
      <c r="K37" s="148"/>
      <c r="L37" s="193" t="s">
        <v>175</v>
      </c>
      <c r="M37" s="148"/>
      <c r="N37" s="156"/>
      <c r="O37" s="148"/>
      <c r="P37" s="148"/>
      <c r="Q37" s="171"/>
      <c r="R37" s="150"/>
      <c r="S37" s="190"/>
      <c r="T37" s="144"/>
    </row>
    <row r="38" spans="1:20" x14ac:dyDescent="0.25">
      <c r="A38" s="146">
        <v>5</v>
      </c>
      <c r="B38" s="148"/>
      <c r="C38" s="150"/>
      <c r="D38" s="148"/>
      <c r="E38" s="189"/>
      <c r="F38" s="160"/>
      <c r="G38" s="160"/>
      <c r="H38" s="148"/>
      <c r="I38" s="151"/>
      <c r="J38" s="156"/>
      <c r="K38" s="142"/>
      <c r="L38" s="156"/>
      <c r="M38" s="148"/>
      <c r="N38" s="156"/>
      <c r="O38" s="148"/>
      <c r="P38" s="148"/>
      <c r="Q38" s="171"/>
      <c r="R38" s="148"/>
      <c r="S38" s="148">
        <v>4</v>
      </c>
      <c r="T38" s="144"/>
    </row>
    <row r="40" spans="1:20" ht="14.4" x14ac:dyDescent="0.3">
      <c r="A40" s="223"/>
      <c r="B40" s="224"/>
      <c r="C40" s="225"/>
      <c r="D40" s="225"/>
      <c r="E40" s="225"/>
      <c r="F40" s="225"/>
      <c r="G40" s="225"/>
      <c r="H40" s="226"/>
      <c r="I40" s="226"/>
      <c r="J40" s="227"/>
      <c r="K40" s="226"/>
      <c r="L40" s="225"/>
      <c r="M40" s="228"/>
      <c r="N40" s="225"/>
      <c r="O40" s="229"/>
      <c r="P40" s="225"/>
      <c r="Q40" s="230"/>
      <c r="R40" s="225"/>
      <c r="S40" s="225"/>
      <c r="T40" s="231"/>
    </row>
    <row r="41" spans="1:20" ht="14.4" x14ac:dyDescent="0.3">
      <c r="A41" s="223"/>
      <c r="B41" s="140" t="s">
        <v>177</v>
      </c>
      <c r="C41" s="204"/>
      <c r="D41" s="200"/>
      <c r="E41" s="204"/>
      <c r="F41" s="230"/>
      <c r="G41" s="230"/>
      <c r="H41" s="230"/>
      <c r="I41" s="230"/>
      <c r="J41" s="232"/>
      <c r="K41" s="232"/>
      <c r="L41" s="267" t="s">
        <v>176</v>
      </c>
      <c r="M41" s="267"/>
      <c r="N41" s="267"/>
      <c r="O41" s="267"/>
      <c r="P41" s="267"/>
      <c r="Q41" s="268"/>
    </row>
    <row r="42" spans="1:20" ht="14.4" x14ac:dyDescent="0.3">
      <c r="A42" s="223"/>
      <c r="B42" s="152" t="s">
        <v>179</v>
      </c>
      <c r="C42" s="174">
        <v>87019533922</v>
      </c>
      <c r="D42" s="152" t="s">
        <v>180</v>
      </c>
      <c r="E42" s="202"/>
      <c r="F42" s="225"/>
      <c r="G42" s="225"/>
      <c r="H42" s="229"/>
      <c r="I42" s="225"/>
      <c r="J42" s="227"/>
      <c r="K42" s="233"/>
      <c r="L42" s="150"/>
      <c r="M42" s="150"/>
      <c r="N42" s="146" t="s">
        <v>182</v>
      </c>
      <c r="O42" s="146" t="s">
        <v>183</v>
      </c>
      <c r="P42" s="146" t="s">
        <v>184</v>
      </c>
      <c r="Q42" s="200" t="s">
        <v>185</v>
      </c>
      <c r="R42" s="151"/>
      <c r="S42" s="234"/>
      <c r="T42" s="231"/>
    </row>
    <row r="43" spans="1:20" ht="14.4" x14ac:dyDescent="0.3">
      <c r="A43" s="223"/>
      <c r="B43" s="152"/>
      <c r="C43" s="152"/>
      <c r="D43" s="152"/>
      <c r="E43" s="202"/>
      <c r="F43" s="225"/>
      <c r="G43" s="225"/>
      <c r="H43" s="229"/>
      <c r="I43" s="225"/>
      <c r="J43" s="233"/>
      <c r="K43" s="233"/>
      <c r="L43" s="152" t="s">
        <v>178</v>
      </c>
      <c r="M43" s="152" t="s">
        <v>181</v>
      </c>
      <c r="N43" s="152">
        <v>120</v>
      </c>
      <c r="O43" s="152">
        <v>120</v>
      </c>
      <c r="P43" s="153"/>
      <c r="Q43" s="200"/>
      <c r="R43" s="205"/>
      <c r="S43" s="235"/>
      <c r="T43" s="231"/>
    </row>
    <row r="44" spans="1:20" ht="14.4" x14ac:dyDescent="0.3">
      <c r="A44" s="223"/>
      <c r="B44" s="152" t="s">
        <v>188</v>
      </c>
      <c r="C44" s="152">
        <v>87018884483</v>
      </c>
      <c r="D44" s="152" t="s">
        <v>189</v>
      </c>
      <c r="E44" s="206" t="s">
        <v>190</v>
      </c>
      <c r="F44" s="225"/>
      <c r="G44" s="225"/>
      <c r="H44" s="229"/>
      <c r="I44" s="225"/>
      <c r="J44" s="233"/>
      <c r="K44" s="233"/>
      <c r="L44" s="152"/>
      <c r="M44" s="152" t="s">
        <v>187</v>
      </c>
      <c r="N44" s="152">
        <v>28</v>
      </c>
      <c r="O44" s="152">
        <v>28</v>
      </c>
      <c r="P44" s="153"/>
      <c r="Q44" s="200"/>
      <c r="R44" s="146"/>
      <c r="S44" s="236"/>
      <c r="T44" s="229"/>
    </row>
    <row r="45" spans="1:20" ht="14.4" x14ac:dyDescent="0.3">
      <c r="A45" s="237"/>
      <c r="B45" s="218" t="s">
        <v>188</v>
      </c>
      <c r="C45" s="218">
        <v>87019534037</v>
      </c>
      <c r="D45" s="218" t="s">
        <v>191</v>
      </c>
      <c r="E45" s="204" t="s">
        <v>192</v>
      </c>
      <c r="F45" s="230"/>
      <c r="G45" s="230"/>
      <c r="H45" s="230"/>
      <c r="I45" s="230"/>
      <c r="J45" s="238"/>
      <c r="K45" s="239"/>
      <c r="L45" s="219" t="s">
        <v>186</v>
      </c>
      <c r="M45" s="219" t="s">
        <v>181</v>
      </c>
      <c r="N45" s="219">
        <v>14</v>
      </c>
      <c r="O45" s="219">
        <v>14</v>
      </c>
      <c r="P45" s="220">
        <v>0</v>
      </c>
      <c r="Q45" s="200"/>
      <c r="R45" s="221"/>
      <c r="S45" s="240"/>
      <c r="T45" s="229"/>
    </row>
    <row r="46" spans="1:20" ht="13.8" x14ac:dyDescent="0.3">
      <c r="A46" s="226"/>
      <c r="B46" s="226"/>
      <c r="C46" s="226"/>
      <c r="D46" s="226"/>
      <c r="E46" s="226"/>
      <c r="F46" s="226"/>
      <c r="G46" s="225"/>
      <c r="H46" s="225"/>
      <c r="I46" s="225"/>
      <c r="J46" s="241"/>
      <c r="K46" s="233"/>
      <c r="L46" s="143"/>
      <c r="M46" s="143" t="s">
        <v>187</v>
      </c>
      <c r="N46" s="143">
        <v>8</v>
      </c>
      <c r="O46" s="143">
        <v>8</v>
      </c>
      <c r="P46" s="153">
        <v>0</v>
      </c>
      <c r="Q46" s="200"/>
      <c r="R46" s="148"/>
      <c r="S46" s="228"/>
      <c r="T46" s="229"/>
    </row>
    <row r="47" spans="1:20" ht="13.8" x14ac:dyDescent="0.3">
      <c r="A47" s="225"/>
      <c r="B47" s="225"/>
      <c r="C47" s="225"/>
      <c r="D47" s="225"/>
      <c r="E47" s="225"/>
      <c r="F47" s="225"/>
      <c r="G47" s="225"/>
      <c r="H47" s="225"/>
      <c r="I47" s="225"/>
      <c r="J47" s="242"/>
      <c r="L47" s="150"/>
      <c r="M47" s="146" t="s">
        <v>193</v>
      </c>
      <c r="N47" s="152">
        <v>170</v>
      </c>
      <c r="O47" s="152">
        <v>170</v>
      </c>
      <c r="P47" s="153">
        <v>0</v>
      </c>
      <c r="Q47" s="207"/>
      <c r="R47" s="208"/>
      <c r="S47" s="243"/>
      <c r="T47" s="229"/>
    </row>
    <row r="48" spans="1:20" ht="13.8" x14ac:dyDescent="0.3">
      <c r="A48" s="226"/>
      <c r="B48" s="226"/>
      <c r="C48" s="226"/>
      <c r="D48" s="226"/>
      <c r="E48" s="226"/>
      <c r="F48" s="226"/>
      <c r="G48" s="226"/>
      <c r="H48" s="225"/>
      <c r="I48" s="225"/>
      <c r="J48" s="242"/>
      <c r="L48" s="202"/>
      <c r="M48" s="202"/>
      <c r="N48" s="202"/>
      <c r="O48" s="202"/>
      <c r="P48" s="202"/>
      <c r="Q48" s="209"/>
      <c r="R48" s="210"/>
      <c r="S48" s="244"/>
      <c r="T48" s="229"/>
    </row>
    <row r="49" spans="1:19" ht="26.4" x14ac:dyDescent="0.25">
      <c r="A49" s="269" t="s">
        <v>196</v>
      </c>
      <c r="B49" s="270" t="s">
        <v>197</v>
      </c>
      <c r="C49" s="270"/>
      <c r="D49" s="270"/>
      <c r="E49" s="270"/>
      <c r="F49" s="271"/>
      <c r="G49" s="271"/>
      <c r="H49" s="271"/>
      <c r="I49" s="271"/>
      <c r="J49" s="242"/>
      <c r="L49" s="141" t="s">
        <v>194</v>
      </c>
      <c r="M49" s="141"/>
      <c r="N49" s="141">
        <v>30</v>
      </c>
      <c r="O49" s="141">
        <v>30</v>
      </c>
      <c r="P49" s="151">
        <v>1</v>
      </c>
      <c r="Q49" s="212" t="s">
        <v>195</v>
      </c>
      <c r="R49" s="211"/>
      <c r="S49" s="245"/>
    </row>
    <row r="50" spans="1:19" ht="13.8" x14ac:dyDescent="0.3">
      <c r="A50" s="269"/>
      <c r="B50" s="146" t="s">
        <v>198</v>
      </c>
      <c r="C50" s="146" t="s">
        <v>199</v>
      </c>
      <c r="D50" s="146" t="s">
        <v>182</v>
      </c>
      <c r="E50" s="146" t="s">
        <v>200</v>
      </c>
      <c r="F50" s="146" t="s">
        <v>201</v>
      </c>
      <c r="G50" s="146" t="s">
        <v>183</v>
      </c>
      <c r="H50" s="173" t="s">
        <v>202</v>
      </c>
      <c r="I50" s="158" t="s">
        <v>184</v>
      </c>
      <c r="J50" s="242"/>
      <c r="L50" s="229"/>
      <c r="M50" s="229"/>
      <c r="N50" s="229"/>
      <c r="O50" s="229"/>
      <c r="P50" s="229"/>
      <c r="Q50" s="229"/>
      <c r="R50" s="229"/>
      <c r="S50" s="229"/>
    </row>
    <row r="51" spans="1:19" ht="13.8" x14ac:dyDescent="0.3">
      <c r="A51" s="200"/>
      <c r="B51" s="198"/>
      <c r="C51" s="198"/>
      <c r="D51" s="198"/>
      <c r="E51" s="198"/>
      <c r="F51" s="198"/>
      <c r="G51" s="198"/>
      <c r="H51" s="198"/>
      <c r="I51" s="198"/>
      <c r="J51" s="198"/>
      <c r="L51" s="229"/>
      <c r="M51" s="229"/>
      <c r="N51" s="229"/>
      <c r="O51" s="229"/>
      <c r="P51" s="229"/>
      <c r="Q51" s="229"/>
      <c r="R51" s="229"/>
      <c r="S51" s="229"/>
    </row>
    <row r="52" spans="1:19" ht="13.8" x14ac:dyDescent="0.3">
      <c r="A52" s="200">
        <v>13</v>
      </c>
      <c r="B52" s="200" t="s">
        <v>208</v>
      </c>
      <c r="C52" s="145">
        <v>162</v>
      </c>
      <c r="D52" s="158">
        <v>170</v>
      </c>
      <c r="E52" s="176">
        <v>130</v>
      </c>
      <c r="F52" s="146">
        <v>40</v>
      </c>
      <c r="G52" s="158">
        <v>170</v>
      </c>
      <c r="H52" s="173">
        <v>8</v>
      </c>
      <c r="I52" s="175">
        <v>0</v>
      </c>
      <c r="J52" s="200" t="s">
        <v>202</v>
      </c>
      <c r="L52" s="229"/>
      <c r="M52" s="229"/>
      <c r="N52" s="229"/>
      <c r="O52" s="229"/>
      <c r="P52" s="229"/>
      <c r="Q52" s="229"/>
      <c r="R52" s="229"/>
      <c r="S52" s="229"/>
    </row>
    <row r="53" spans="1:19" ht="13.8" x14ac:dyDescent="0.3">
      <c r="A53" s="200">
        <v>16</v>
      </c>
      <c r="B53" s="200" t="s">
        <v>210</v>
      </c>
      <c r="C53" s="145">
        <v>4</v>
      </c>
      <c r="D53" s="158">
        <v>4</v>
      </c>
      <c r="E53" s="141">
        <v>4</v>
      </c>
      <c r="F53" s="146">
        <v>0</v>
      </c>
      <c r="G53" s="158">
        <v>4</v>
      </c>
      <c r="H53" s="173">
        <v>0</v>
      </c>
      <c r="I53" s="175">
        <v>0</v>
      </c>
      <c r="J53" s="190"/>
      <c r="L53" s="203"/>
      <c r="M53" s="140" t="s">
        <v>203</v>
      </c>
      <c r="N53" s="140" t="s">
        <v>204</v>
      </c>
      <c r="O53" s="140" t="s">
        <v>205</v>
      </c>
      <c r="P53" s="140"/>
      <c r="Q53" s="182" t="s">
        <v>206</v>
      </c>
      <c r="R53" s="215"/>
      <c r="S53" s="229"/>
    </row>
    <row r="54" spans="1:19" ht="13.8" x14ac:dyDescent="0.3">
      <c r="A54" s="200">
        <v>19</v>
      </c>
      <c r="B54" s="200" t="s">
        <v>211</v>
      </c>
      <c r="C54" s="145">
        <v>0</v>
      </c>
      <c r="D54" s="158">
        <v>0</v>
      </c>
      <c r="E54" s="141">
        <v>0</v>
      </c>
      <c r="F54" s="146">
        <v>0</v>
      </c>
      <c r="G54" s="158">
        <v>0</v>
      </c>
      <c r="H54" s="173">
        <v>0</v>
      </c>
      <c r="I54" s="175">
        <v>0</v>
      </c>
      <c r="J54" s="190"/>
      <c r="L54" s="203"/>
      <c r="M54" s="254" t="s">
        <v>290</v>
      </c>
      <c r="N54" s="252" t="s">
        <v>268</v>
      </c>
      <c r="O54" s="253" t="s">
        <v>291</v>
      </c>
      <c r="P54" s="200"/>
      <c r="Q54" s="199" t="s">
        <v>207</v>
      </c>
      <c r="R54" s="214"/>
      <c r="S54" s="229"/>
    </row>
    <row r="55" spans="1:19" ht="13.8" x14ac:dyDescent="0.3">
      <c r="A55" s="200">
        <v>20</v>
      </c>
      <c r="B55" s="200" t="s">
        <v>212</v>
      </c>
      <c r="C55" s="145">
        <v>19</v>
      </c>
      <c r="D55" s="158">
        <v>19</v>
      </c>
      <c r="E55" s="141">
        <v>19</v>
      </c>
      <c r="F55" s="146">
        <v>0</v>
      </c>
      <c r="G55" s="158">
        <v>19</v>
      </c>
      <c r="H55" s="173">
        <v>0</v>
      </c>
      <c r="I55" s="175">
        <v>0</v>
      </c>
      <c r="J55" s="200"/>
      <c r="L55" s="203"/>
      <c r="M55" s="256" t="s">
        <v>325</v>
      </c>
      <c r="N55" s="255" t="s">
        <v>283</v>
      </c>
      <c r="O55" s="253" t="s">
        <v>291</v>
      </c>
      <c r="P55" s="200"/>
      <c r="Q55" s="199" t="s">
        <v>209</v>
      </c>
      <c r="R55" s="214"/>
      <c r="S55" s="229"/>
    </row>
    <row r="56" spans="1:19" ht="13.8" x14ac:dyDescent="0.3">
      <c r="A56" s="200">
        <v>30</v>
      </c>
      <c r="B56" s="200" t="s">
        <v>213</v>
      </c>
      <c r="C56" s="151">
        <v>0</v>
      </c>
      <c r="D56" s="158">
        <v>0</v>
      </c>
      <c r="E56" s="146">
        <v>0</v>
      </c>
      <c r="F56" s="146">
        <v>0</v>
      </c>
      <c r="G56" s="158">
        <v>0</v>
      </c>
      <c r="H56" s="173">
        <v>0</v>
      </c>
      <c r="I56" s="175">
        <v>0</v>
      </c>
      <c r="J56" s="190"/>
      <c r="L56" s="203"/>
      <c r="M56" s="193"/>
      <c r="N56" s="180"/>
      <c r="O56" s="200"/>
      <c r="P56" s="200"/>
      <c r="Q56" s="200"/>
      <c r="R56" s="214"/>
      <c r="S56" s="229"/>
    </row>
    <row r="57" spans="1:19" ht="13.8" x14ac:dyDescent="0.3">
      <c r="A57" s="200">
        <v>38</v>
      </c>
      <c r="B57" s="249" t="s">
        <v>288</v>
      </c>
      <c r="C57" s="151">
        <v>0</v>
      </c>
      <c r="D57" s="158">
        <v>0</v>
      </c>
      <c r="E57" s="146">
        <v>0</v>
      </c>
      <c r="F57" s="146">
        <v>0</v>
      </c>
      <c r="G57" s="158">
        <v>0</v>
      </c>
      <c r="H57" s="173">
        <v>0</v>
      </c>
      <c r="I57" s="175">
        <v>0</v>
      </c>
      <c r="J57" s="190"/>
      <c r="L57" s="203"/>
      <c r="M57" s="193"/>
      <c r="N57" s="194"/>
      <c r="O57" s="200"/>
      <c r="P57" s="200"/>
      <c r="Q57" s="200"/>
      <c r="R57" s="214"/>
      <c r="S57" s="229"/>
    </row>
    <row r="58" spans="1:19" ht="13.8" x14ac:dyDescent="0.3">
      <c r="A58" s="200">
        <v>27</v>
      </c>
      <c r="B58" s="200" t="s">
        <v>214</v>
      </c>
      <c r="C58" s="151">
        <v>2</v>
      </c>
      <c r="D58" s="158">
        <v>2</v>
      </c>
      <c r="E58" s="146">
        <v>1</v>
      </c>
      <c r="F58" s="146">
        <v>1</v>
      </c>
      <c r="G58" s="158">
        <v>2</v>
      </c>
      <c r="H58" s="173">
        <v>0</v>
      </c>
      <c r="I58" s="175">
        <v>0</v>
      </c>
      <c r="J58" s="190"/>
      <c r="S58" s="229"/>
    </row>
    <row r="59" spans="1:19" x14ac:dyDescent="0.25">
      <c r="A59" s="200">
        <v>40</v>
      </c>
      <c r="B59" s="200" t="s">
        <v>215</v>
      </c>
      <c r="C59" s="151">
        <v>4</v>
      </c>
      <c r="D59" s="158">
        <v>4</v>
      </c>
      <c r="E59" s="146">
        <v>4</v>
      </c>
      <c r="F59" s="146">
        <v>0</v>
      </c>
      <c r="G59" s="158">
        <v>4</v>
      </c>
      <c r="H59" s="173">
        <v>0</v>
      </c>
      <c r="I59" s="175">
        <v>0</v>
      </c>
      <c r="J59" s="200"/>
    </row>
    <row r="60" spans="1:19" x14ac:dyDescent="0.25">
      <c r="A60" s="200">
        <v>63</v>
      </c>
      <c r="B60" s="200" t="s">
        <v>216</v>
      </c>
      <c r="C60" s="151">
        <v>1</v>
      </c>
      <c r="D60" s="158">
        <v>1</v>
      </c>
      <c r="E60" s="146">
        <v>0</v>
      </c>
      <c r="F60" s="146">
        <v>0</v>
      </c>
      <c r="G60" s="158">
        <v>0</v>
      </c>
      <c r="H60" s="173">
        <v>0</v>
      </c>
      <c r="I60" s="175">
        <v>-1</v>
      </c>
      <c r="J60" s="200" t="s">
        <v>217</v>
      </c>
    </row>
    <row r="61" spans="1:19" ht="14.4" x14ac:dyDescent="0.3">
      <c r="A61" s="201"/>
      <c r="B61" s="202"/>
      <c r="C61" s="213"/>
      <c r="D61" s="203"/>
      <c r="E61" s="202"/>
      <c r="F61" s="203"/>
      <c r="G61" s="203"/>
      <c r="H61" s="203"/>
      <c r="I61" s="203"/>
      <c r="J61" s="202"/>
    </row>
    <row r="62" spans="1:19" ht="14.4" x14ac:dyDescent="0.3">
      <c r="A62" s="201"/>
      <c r="B62" s="146" t="s">
        <v>218</v>
      </c>
      <c r="C62" s="146">
        <v>192</v>
      </c>
      <c r="D62" s="158">
        <v>200</v>
      </c>
      <c r="E62" s="146">
        <v>158</v>
      </c>
      <c r="F62" s="146">
        <v>41</v>
      </c>
      <c r="G62" s="158">
        <v>200</v>
      </c>
      <c r="H62" s="173">
        <v>8</v>
      </c>
      <c r="I62" s="175">
        <v>-1</v>
      </c>
      <c r="J62" s="203"/>
    </row>
  </sheetData>
  <mergeCells count="5">
    <mergeCell ref="D2:E2"/>
    <mergeCell ref="N2:O2"/>
    <mergeCell ref="L41:Q41"/>
    <mergeCell ref="A49:A50"/>
    <mergeCell ref="B49:I4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Жалжанов Даурен Хадисович</cp:lastModifiedBy>
  <cp:revision>1</cp:revision>
  <dcterms:modified xsi:type="dcterms:W3CDTF">2026-10-14T02:15:13Z</dcterms:modified>
  <cp:category/>
</cp:coreProperties>
</file>